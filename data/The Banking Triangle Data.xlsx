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601b7356c470a5/سطح المكتب/The Banking Triangle Project/"/>
    </mc:Choice>
  </mc:AlternateContent>
  <xr:revisionPtr revIDLastSave="1130" documentId="8_{4DE48394-E969-4CFB-8171-728D1AB41669}" xr6:coauthVersionLast="47" xr6:coauthVersionMax="47" xr10:uidLastSave="{89964C5F-8F9E-452E-AE9C-2DBD68BFAAFD}"/>
  <bookViews>
    <workbookView xWindow="-98" yWindow="-98" windowWidth="21795" windowHeight="12975" firstSheet="7" activeTab="9" xr2:uid="{3B2F002F-084F-4622-B652-A74899EF301B}"/>
  </bookViews>
  <sheets>
    <sheet name="Money_Supply_Levels" sheetId="5" r:id="rId1"/>
    <sheet name="M3_Components" sheetId="1" r:id="rId2"/>
    <sheet name="Mortgage_Finance" sheetId="6" r:id="rId3"/>
    <sheet name="Stock_AlRajhi" sheetId="2" r:id="rId4"/>
    <sheet name="Stock_SNB" sheetId="3" r:id="rId5"/>
    <sheet name="Stock_Alinma" sheetId="4" r:id="rId6"/>
    <sheet name="Global_Deposits" sheetId="9" r:id="rId7"/>
    <sheet name="Consumer_Loans_Annual" sheetId="7" r:id="rId8"/>
    <sheet name="Interest_Rates_SAIBOR" sheetId="8" r:id="rId9"/>
    <sheet name="Nonperforming loans to total g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9" l="1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L2" i="4"/>
  <c r="L7" i="4"/>
  <c r="L12" i="4"/>
  <c r="L18" i="4"/>
  <c r="L22" i="4"/>
  <c r="L27" i="4"/>
  <c r="L32" i="4"/>
  <c r="L38" i="4"/>
  <c r="L62" i="4"/>
  <c r="L42" i="4"/>
  <c r="L47" i="4"/>
  <c r="L52" i="4"/>
  <c r="L58" i="4"/>
  <c r="L66" i="4"/>
  <c r="L71" i="4"/>
  <c r="L76" i="4"/>
  <c r="L2" i="3"/>
  <c r="L6" i="3"/>
  <c r="L11" i="3"/>
  <c r="L15" i="3"/>
  <c r="L20" i="3"/>
  <c r="L24" i="3"/>
  <c r="L29" i="3"/>
  <c r="L34" i="3"/>
  <c r="L38" i="3"/>
  <c r="L42" i="3"/>
  <c r="L47" i="3"/>
  <c r="L53" i="3"/>
  <c r="L57" i="3"/>
  <c r="L61" i="3"/>
  <c r="L66" i="3"/>
  <c r="L71" i="3"/>
  <c r="L2" i="2"/>
  <c r="L6" i="2"/>
  <c r="L11" i="2"/>
  <c r="L16" i="2"/>
  <c r="L20" i="2"/>
  <c r="L24" i="2"/>
  <c r="L29" i="2"/>
  <c r="L33" i="2"/>
  <c r="L38" i="2"/>
  <c r="L42" i="2"/>
  <c r="L47" i="2"/>
  <c r="L51" i="2"/>
  <c r="L56" i="2"/>
  <c r="L60" i="2"/>
  <c r="L64" i="2"/>
  <c r="L69" i="2"/>
  <c r="J2" i="4"/>
  <c r="J22" i="4"/>
  <c r="J42" i="4"/>
  <c r="J62" i="4"/>
  <c r="J2" i="3"/>
  <c r="J20" i="3"/>
  <c r="J38" i="3"/>
  <c r="J57" i="3"/>
  <c r="J2" i="2"/>
  <c r="J20" i="2"/>
  <c r="J38" i="2"/>
  <c r="J56" i="2"/>
</calcChain>
</file>

<file path=xl/sharedStrings.xml><?xml version="1.0" encoding="utf-8"?>
<sst xmlns="http://schemas.openxmlformats.org/spreadsheetml/2006/main" count="130" uniqueCount="52">
  <si>
    <t>Date</t>
  </si>
  <si>
    <t>Open</t>
  </si>
  <si>
    <t>High</t>
  </si>
  <si>
    <t>Low</t>
  </si>
  <si>
    <t xml:space="preserve">Close </t>
  </si>
  <si>
    <t xml:space="preserve">Adj Close </t>
  </si>
  <si>
    <t>Volume</t>
  </si>
  <si>
    <t>Dividend</t>
  </si>
  <si>
    <t xml:space="preserve"> Dividend</t>
  </si>
  <si>
    <t xml:space="preserve"> </t>
  </si>
  <si>
    <t>Stock Splits</t>
  </si>
  <si>
    <t xml:space="preserve"> Stock Splits</t>
  </si>
  <si>
    <t>Currency_Outside_Banks_Pct</t>
  </si>
  <si>
    <t>Demand_Deposits_Pct</t>
  </si>
  <si>
    <t>Time_Savings_Deposits_Pct</t>
  </si>
  <si>
    <t>Quasi_Money_Deposits_Pct</t>
  </si>
  <si>
    <t>Currency_Outside_Banks</t>
  </si>
  <si>
    <t>Demand_Deposits</t>
  </si>
  <si>
    <t>Time_Savings_Deposits</t>
  </si>
  <si>
    <t>Quasi_Money_Deposits</t>
  </si>
  <si>
    <t>M1_Growth_Rate</t>
  </si>
  <si>
    <t>M2_Growth_Rate</t>
  </si>
  <si>
    <t>M3_Growth_Rate</t>
  </si>
  <si>
    <t>Total_Mortgage_Value_Mio</t>
  </si>
  <si>
    <t xml:space="preserve">Houses_Value_Mio </t>
  </si>
  <si>
    <t>Apartments_Value_Mio</t>
  </si>
  <si>
    <t>Land_Value_Mio</t>
  </si>
  <si>
    <t>Total_Contracts_Count</t>
  </si>
  <si>
    <t>Renovation_Loans</t>
  </si>
  <si>
    <t>Vehicle_Loans</t>
  </si>
  <si>
    <t>Furniture_Goods_Loans</t>
  </si>
  <si>
    <t>Education_Loans</t>
  </si>
  <si>
    <t>Healthcare_Loans</t>
  </si>
  <si>
    <t>Tourism_Travel_Loans</t>
  </si>
  <si>
    <t>Other_Consumer_Loans</t>
  </si>
  <si>
    <t>Total_Consumer_Loans</t>
  </si>
  <si>
    <t>Credit_Cards_Loans</t>
  </si>
  <si>
    <t>Repo_Rate</t>
  </si>
  <si>
    <t>Reverse_Repo</t>
  </si>
  <si>
    <t>SAIBOR_3M</t>
  </si>
  <si>
    <t>SAMA_Bills_1W</t>
  </si>
  <si>
    <t>SAMA_Bills_4W</t>
  </si>
  <si>
    <t>SAMA_Bills_13W</t>
  </si>
  <si>
    <t>SAMA_Bills_26W</t>
  </si>
  <si>
    <t>SAMA_Bills_52W</t>
  </si>
  <si>
    <t>Net Profit</t>
  </si>
  <si>
    <t>Time_Deposits</t>
  </si>
  <si>
    <t>Bank Name</t>
  </si>
  <si>
    <t>AlRajhi</t>
  </si>
  <si>
    <t>SNB</t>
  </si>
  <si>
    <t>Alinma</t>
  </si>
  <si>
    <t>Nonperforming loans to total gross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</si>
</sst>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_);\(#,##0.0\)"/>
    <numFmt numFmtId="165" formatCode="0.000_)"/>
    <numFmt numFmtId="166" formatCode="#,##0.0000_ ;[Red]\-#,##0.0000\ "/>
    <numFmt numFmtId="167" formatCode="#,##0.0000_ "/>
    <numFmt numFmtId="168" formatCode="[$-1010000]d/m/yyyy;@"/>
    <numFmt numFmtId="169" formatCode="_-* #,##0_-;\-* #,##0_-;_-* &quot;-&quot;??_-;_-@_-"/>
    <numFmt numFmtId="170" formatCode="_-* #,##0.00\ _ر_._س_._‏_-;\-* #,##0.00\ _ر_._س_._‏_-;_-* &quot;-&quot;??\ _ر_._س_._‏_-;_-@_-"/>
  </numFmts>
  <fonts count="26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sz val="14"/>
      <name val="Times New Roman"/>
      <family val="1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sz val="10"/>
      <name val="DIN Next LT Arabic"/>
      <family val="2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48118533890809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9" fillId="0" borderId="0"/>
    <xf numFmtId="164" fontId="19" fillId="0" borderId="0"/>
    <xf numFmtId="164" fontId="20" fillId="0" borderId="0"/>
    <xf numFmtId="0" fontId="21" fillId="0" borderId="0"/>
    <xf numFmtId="165" fontId="20" fillId="0" borderId="0"/>
    <xf numFmtId="168" fontId="18" fillId="33" borderId="8" applyFont="0" applyAlignment="0">
      <alignment vertical="center" wrapText="1"/>
    </xf>
  </cellStyleXfs>
  <cellXfs count="88">
    <xf numFmtId="0" fontId="0" fillId="0" borderId="0" xfId="0"/>
    <xf numFmtId="168" fontId="0" fillId="0" borderId="0" xfId="0" applyNumberFormat="1"/>
    <xf numFmtId="0" fontId="17" fillId="17" borderId="0" xfId="27"/>
    <xf numFmtId="1" fontId="0" fillId="0" borderId="0" xfId="0" applyNumberFormat="1"/>
    <xf numFmtId="168" fontId="17" fillId="17" borderId="0" xfId="27" applyNumberFormat="1"/>
    <xf numFmtId="164" fontId="17" fillId="17" borderId="0" xfId="27" applyNumberFormat="1" applyAlignment="1">
      <alignment horizontal="center" vertical="center"/>
    </xf>
    <xf numFmtId="168" fontId="1" fillId="0" borderId="0" xfId="0" applyNumberFormat="1" applyFont="1"/>
    <xf numFmtId="2" fontId="1" fillId="0" borderId="0" xfId="0" applyNumberFormat="1" applyFont="1"/>
    <xf numFmtId="0" fontId="1" fillId="0" borderId="0" xfId="0" applyFont="1"/>
    <xf numFmtId="2" fontId="23" fillId="17" borderId="0" xfId="27" applyNumberFormat="1" applyFont="1" applyAlignment="1">
      <alignment horizontal="center" vertical="center" wrapText="1"/>
    </xf>
    <xf numFmtId="169" fontId="23" fillId="17" borderId="0" xfId="1" applyNumberFormat="1" applyFont="1" applyFill="1" applyAlignment="1">
      <alignment horizontal="center" vertical="center" wrapText="1"/>
    </xf>
    <xf numFmtId="2" fontId="23" fillId="17" borderId="0" xfId="27" applyNumberFormat="1" applyFont="1"/>
    <xf numFmtId="0" fontId="23" fillId="17" borderId="0" xfId="27" applyNumberFormat="1" applyFont="1"/>
    <xf numFmtId="2" fontId="21" fillId="0" borderId="0" xfId="0" applyNumberFormat="1" applyFont="1" applyAlignment="1">
      <alignment vertical="center" wrapText="1"/>
    </xf>
    <xf numFmtId="169" fontId="21" fillId="0" borderId="0" xfId="1" applyNumberFormat="1" applyFont="1" applyAlignment="1">
      <alignment vertical="center" wrapText="1"/>
    </xf>
    <xf numFmtId="2" fontId="21" fillId="0" borderId="0" xfId="0" applyNumberFormat="1" applyFont="1"/>
    <xf numFmtId="0" fontId="21" fillId="0" borderId="0" xfId="0" applyFont="1"/>
    <xf numFmtId="2" fontId="21" fillId="18" borderId="0" xfId="28" applyNumberFormat="1" applyFont="1" applyAlignment="1">
      <alignment vertical="center" wrapText="1"/>
    </xf>
    <xf numFmtId="169" fontId="21" fillId="18" borderId="0" xfId="1" applyNumberFormat="1" applyFont="1" applyFill="1" applyAlignment="1">
      <alignment vertical="center" wrapText="1"/>
    </xf>
    <xf numFmtId="2" fontId="21" fillId="18" borderId="0" xfId="28" applyNumberFormat="1" applyFont="1"/>
    <xf numFmtId="2" fontId="24" fillId="7" borderId="7" xfId="14" applyNumberFormat="1" applyFont="1" applyAlignment="1">
      <alignment vertical="center" wrapText="1"/>
    </xf>
    <xf numFmtId="169" fontId="24" fillId="7" borderId="7" xfId="1" applyNumberFormat="1" applyFont="1" applyFill="1" applyBorder="1" applyAlignment="1">
      <alignment vertical="center" wrapText="1"/>
    </xf>
    <xf numFmtId="2" fontId="24" fillId="7" borderId="7" xfId="14" applyNumberFormat="1" applyFont="1"/>
    <xf numFmtId="20" fontId="24" fillId="7" borderId="7" xfId="14" applyNumberFormat="1" applyFont="1"/>
    <xf numFmtId="168" fontId="21" fillId="0" borderId="0" xfId="0" applyNumberFormat="1" applyFont="1"/>
    <xf numFmtId="169" fontId="21" fillId="0" borderId="0" xfId="1" applyNumberFormat="1" applyFont="1"/>
    <xf numFmtId="164" fontId="23" fillId="17" borderId="0" xfId="27" applyNumberFormat="1" applyFont="1" applyAlignment="1">
      <alignment horizontal="center" vertical="center"/>
    </xf>
    <xf numFmtId="0" fontId="23" fillId="17" borderId="0" xfId="27" applyFont="1"/>
    <xf numFmtId="168" fontId="25" fillId="0" borderId="0" xfId="45" applyNumberFormat="1" applyFont="1" applyAlignment="1">
      <alignment vertical="center"/>
    </xf>
    <xf numFmtId="164" fontId="25" fillId="0" borderId="0" xfId="45" applyFont="1" applyAlignment="1">
      <alignment vertical="center"/>
    </xf>
    <xf numFmtId="168" fontId="2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169" fontId="24" fillId="7" borderId="7" xfId="1" applyNumberFormat="1" applyFont="1" applyFill="1" applyBorder="1"/>
    <xf numFmtId="20" fontId="24" fillId="7" borderId="7" xfId="14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18" borderId="0" xfId="28" applyFont="1" applyAlignment="1">
      <alignment vertical="center" wrapText="1"/>
    </xf>
    <xf numFmtId="168" fontId="23" fillId="17" borderId="0" xfId="27" applyNumberFormat="1" applyFont="1" applyAlignment="1">
      <alignment horizontal="center" vertical="center" readingOrder="2"/>
    </xf>
    <xf numFmtId="0" fontId="23" fillId="17" borderId="0" xfId="27" applyFont="1" applyAlignment="1">
      <alignment vertical="center"/>
    </xf>
    <xf numFmtId="168" fontId="17" fillId="17" borderId="0" xfId="27" applyNumberFormat="1" applyAlignment="1">
      <alignment horizontal="center" vertical="top"/>
    </xf>
    <xf numFmtId="164" fontId="17" fillId="17" borderId="0" xfId="27" applyNumberFormat="1" applyAlignment="1">
      <alignment horizontal="center" vertical="top" wrapText="1"/>
    </xf>
    <xf numFmtId="164" fontId="17" fillId="17" borderId="0" xfId="27" applyNumberFormat="1" applyAlignment="1">
      <alignment horizontal="center" vertical="center" wrapText="1"/>
    </xf>
    <xf numFmtId="1" fontId="1" fillId="0" borderId="0" xfId="0" applyNumberFormat="1" applyFont="1"/>
    <xf numFmtId="1" fontId="17" fillId="17" borderId="10" xfId="27" applyNumberFormat="1" applyBorder="1" applyAlignment="1">
      <alignment horizontal="center" vertical="center" wrapText="1"/>
    </xf>
    <xf numFmtId="168" fontId="17" fillId="17" borderId="10" xfId="27" applyNumberFormat="1" applyBorder="1" applyAlignment="1">
      <alignment horizontal="center" vertical="center" wrapText="1"/>
    </xf>
    <xf numFmtId="168" fontId="17" fillId="17" borderId="0" xfId="27" applyNumberFormat="1" applyBorder="1" applyAlignment="1">
      <alignment horizontal="center" vertical="center"/>
    </xf>
    <xf numFmtId="164" fontId="17" fillId="17" borderId="0" xfId="27" applyNumberFormat="1" applyBorder="1" applyAlignment="1">
      <alignment horizontal="center" vertical="center"/>
    </xf>
    <xf numFmtId="165" fontId="17" fillId="17" borderId="0" xfId="27" applyNumberFormat="1" applyBorder="1" applyAlignment="1">
      <alignment horizontal="center" vertical="center" readingOrder="2"/>
    </xf>
    <xf numFmtId="164" fontId="17" fillId="17" borderId="0" xfId="27" applyNumberFormat="1" applyBorder="1" applyAlignment="1">
      <alignment horizontal="center" vertical="center" readingOrder="2"/>
    </xf>
    <xf numFmtId="0" fontId="17" fillId="17" borderId="0" xfId="27" applyBorder="1"/>
    <xf numFmtId="168" fontId="22" fillId="0" borderId="0" xfId="44" applyNumberFormat="1" applyFont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7" fontId="22" fillId="0" borderId="0" xfId="43" applyNumberFormat="1" applyFont="1" applyAlignment="1">
      <alignment horizontal="center" vertical="center"/>
    </xf>
    <xf numFmtId="168" fontId="23" fillId="17" borderId="0" xfId="27" applyNumberFormat="1" applyFont="1" applyAlignment="1">
      <alignment horizontal="center" vertical="center"/>
    </xf>
    <xf numFmtId="168" fontId="21" fillId="18" borderId="0" xfId="28" applyNumberFormat="1" applyFont="1" applyAlignment="1">
      <alignment vertical="center"/>
    </xf>
    <xf numFmtId="168" fontId="24" fillId="7" borderId="7" xfId="14" applyNumberFormat="1" applyFont="1" applyAlignment="1">
      <alignment vertical="center"/>
    </xf>
    <xf numFmtId="43" fontId="23" fillId="17" borderId="0" xfId="1" applyFont="1" applyFill="1"/>
    <xf numFmtId="43" fontId="21" fillId="0" borderId="0" xfId="1" applyFont="1"/>
    <xf numFmtId="170" fontId="21" fillId="0" borderId="0" xfId="0" applyNumberFormat="1" applyFont="1"/>
    <xf numFmtId="168" fontId="21" fillId="2" borderId="0" xfId="7" applyNumberFormat="1" applyFont="1" applyAlignment="1">
      <alignment vertical="center"/>
    </xf>
    <xf numFmtId="2" fontId="21" fillId="2" borderId="0" xfId="7" applyNumberFormat="1" applyFont="1" applyAlignment="1">
      <alignment vertical="center" wrapText="1"/>
    </xf>
    <xf numFmtId="169" fontId="21" fillId="2" borderId="0" xfId="1" applyNumberFormat="1" applyFont="1" applyFill="1" applyAlignment="1">
      <alignment vertical="center" wrapText="1"/>
    </xf>
    <xf numFmtId="2" fontId="21" fillId="2" borderId="0" xfId="7" applyNumberFormat="1" applyFont="1"/>
    <xf numFmtId="168" fontId="1" fillId="30" borderId="0" xfId="40" applyNumberFormat="1" applyAlignment="1">
      <alignment vertical="center"/>
    </xf>
    <xf numFmtId="2" fontId="1" fillId="30" borderId="0" xfId="40" applyNumberFormat="1" applyAlignment="1">
      <alignment vertical="center" wrapText="1"/>
    </xf>
    <xf numFmtId="169" fontId="1" fillId="30" borderId="0" xfId="40" applyNumberFormat="1" applyAlignment="1">
      <alignment vertical="center" wrapText="1"/>
    </xf>
    <xf numFmtId="2" fontId="1" fillId="30" borderId="0" xfId="40" applyNumberFormat="1"/>
    <xf numFmtId="0" fontId="1" fillId="30" borderId="0" xfId="40"/>
    <xf numFmtId="43" fontId="1" fillId="30" borderId="0" xfId="40" applyNumberFormat="1"/>
    <xf numFmtId="170" fontId="0" fillId="0" borderId="0" xfId="0" applyNumberFormat="1"/>
    <xf numFmtId="2" fontId="1" fillId="30" borderId="0" xfId="40" applyNumberFormat="1" applyAlignment="1"/>
    <xf numFmtId="168" fontId="1" fillId="30" borderId="0" xfId="40" applyNumberFormat="1"/>
    <xf numFmtId="43" fontId="23" fillId="17" borderId="0" xfId="1" applyFont="1" applyFill="1" applyAlignment="1"/>
    <xf numFmtId="43" fontId="1" fillId="30" borderId="0" xfId="1" applyFill="1" applyAlignment="1"/>
    <xf numFmtId="43" fontId="21" fillId="0" borderId="0" xfId="1" applyFont="1" applyAlignment="1"/>
    <xf numFmtId="43" fontId="1" fillId="30" borderId="0" xfId="1" applyFill="1"/>
    <xf numFmtId="43" fontId="21" fillId="0" borderId="0" xfId="1" applyFont="1" applyAlignment="1">
      <alignment vertical="center" wrapText="1"/>
    </xf>
    <xf numFmtId="2" fontId="1" fillId="30" borderId="0" xfId="40" applyNumberFormat="1" applyAlignment="1">
      <alignment wrapText="1"/>
    </xf>
    <xf numFmtId="169" fontId="1" fillId="30" borderId="0" xfId="40" applyNumberFormat="1" applyAlignment="1">
      <alignment wrapText="1"/>
    </xf>
    <xf numFmtId="0" fontId="1" fillId="30" borderId="0" xfId="40" applyAlignment="1"/>
    <xf numFmtId="168" fontId="1" fillId="30" borderId="0" xfId="40" applyNumberFormat="1" applyAlignment="1"/>
    <xf numFmtId="3" fontId="0" fillId="0" borderId="0" xfId="0" applyNumberFormat="1"/>
    <xf numFmtId="3" fontId="21" fillId="0" borderId="0" xfId="0" applyNumberFormat="1" applyFont="1"/>
    <xf numFmtId="43" fontId="17" fillId="17" borderId="0" xfId="1" applyFont="1" applyFill="1"/>
    <xf numFmtId="168" fontId="17" fillId="17" borderId="0" xfId="27" applyNumberFormat="1" applyAlignment="1">
      <alignment horizontal="center" vertical="center"/>
    </xf>
    <xf numFmtId="43" fontId="17" fillId="17" borderId="0" xfId="27" applyNumberFormat="1"/>
    <xf numFmtId="0" fontId="17" fillId="17" borderId="0" xfId="27" applyAlignment="1">
      <alignment horizontal="center" vertical="center"/>
    </xf>
    <xf numFmtId="2" fontId="0" fillId="0" borderId="0" xfId="0" applyNumberFormat="1"/>
    <xf numFmtId="43" fontId="0" fillId="0" borderId="0" xfId="1" applyFont="1"/>
  </cellXfs>
  <cellStyles count="49">
    <cellStyle name="20% - تمييز1" xfId="20" builtinId="30" customBuiltin="1"/>
    <cellStyle name="20% - تمييز2" xfId="24" builtinId="34" customBuiltin="1"/>
    <cellStyle name="20% - تمييز3" xfId="28" builtinId="38" customBuiltin="1"/>
    <cellStyle name="20% - تمييز4" xfId="32" builtinId="42" customBuiltin="1"/>
    <cellStyle name="20% - تمييز5" xfId="36" builtinId="46" customBuiltin="1"/>
    <cellStyle name="20% - تمييز6" xfId="40" builtinId="50" customBuiltin="1"/>
    <cellStyle name="40% - تمييز1" xfId="21" builtinId="31" customBuiltin="1"/>
    <cellStyle name="40% - تمييز2" xfId="25" builtinId="35" customBuiltin="1"/>
    <cellStyle name="40% - تمييز3" xfId="29" builtinId="39" customBuiltin="1"/>
    <cellStyle name="40% - تمييز4" xfId="33" builtinId="43" customBuiltin="1"/>
    <cellStyle name="40% - تمييز5" xfId="37" builtinId="47" customBuiltin="1"/>
    <cellStyle name="40% - تمييز6" xfId="41" builtinId="51" customBuiltin="1"/>
    <cellStyle name="60% - تمييز1" xfId="22" builtinId="32" customBuiltin="1"/>
    <cellStyle name="60% - تمييز2" xfId="26" builtinId="36" customBuiltin="1"/>
    <cellStyle name="60% - تمييز3" xfId="30" builtinId="40" customBuiltin="1"/>
    <cellStyle name="60% - تمييز4" xfId="34" builtinId="44" customBuiltin="1"/>
    <cellStyle name="60% - تمييز5" xfId="38" builtinId="48" customBuiltin="1"/>
    <cellStyle name="60% - تمييز6" xfId="42" builtinId="52" customBuiltin="1"/>
    <cellStyle name="Comma" xfId="1" builtinId="3"/>
    <cellStyle name="Normal 2" xfId="45" xr:uid="{EBFF6500-AF39-4266-BA79-D98FA8A63018}"/>
    <cellStyle name="Normal 2 2" xfId="44" xr:uid="{AD3EABE3-527A-4C49-A7D1-D31E4AFABFFE}"/>
    <cellStyle name="Normal 2 4" xfId="46" xr:uid="{44200C4E-C3DA-4DD6-A00D-238E7D0D6568}"/>
    <cellStyle name="Normal 3" xfId="43" xr:uid="{3E02CD06-5815-4DED-BE2D-3D50A6565CB0}"/>
    <cellStyle name="Normal 7" xfId="47" xr:uid="{5234F0F8-74F4-4D1C-9E04-B4FEBB5ACAFB}"/>
    <cellStyle name="إخراج" xfId="11" builtinId="21" customBuiltin="1"/>
    <cellStyle name="إدخال" xfId="10" builtinId="20" customBuiltin="1"/>
    <cellStyle name="الإجمالي" xfId="18" builtinId="25" customBuiltin="1"/>
    <cellStyle name="تمييز1" xfId="19" builtinId="29" customBuiltin="1"/>
    <cellStyle name="تمييز2" xfId="23" builtinId="33" customBuiltin="1"/>
    <cellStyle name="تمييز3" xfId="27" builtinId="37" customBuiltin="1"/>
    <cellStyle name="تمييز4" xfId="31" builtinId="41" customBuiltin="1"/>
    <cellStyle name="تمييز5" xfId="35" builtinId="45" customBuiltin="1"/>
    <cellStyle name="تمييز6" xfId="39" builtinId="49" customBuiltin="1"/>
    <cellStyle name="جيد" xfId="7" builtinId="26" customBuiltin="1"/>
    <cellStyle name="حساب" xfId="12" builtinId="22" customBuiltin="1"/>
    <cellStyle name="خلية تدقيق" xfId="14" builtinId="23" customBuiltin="1"/>
    <cellStyle name="خلية مرتبطة" xfId="13" builtinId="24" customBuiltin="1"/>
    <cellStyle name="سيئ" xfId="8" builtinId="27" customBuiltin="1"/>
    <cellStyle name="عادي" xfId="0" builtinId="0"/>
    <cellStyle name="عنوان" xfId="2" builtinId="15" customBuiltin="1"/>
    <cellStyle name="عنوان 1" xfId="3" builtinId="16" customBuiltin="1"/>
    <cellStyle name="عنوان 2" xfId="4" builtinId="17" customBuiltin="1"/>
    <cellStyle name="عنوان 3" xfId="5" builtinId="18" customBuiltin="1"/>
    <cellStyle name="عنوان 4" xfId="6" builtinId="19" customBuiltin="1"/>
    <cellStyle name="محايد" xfId="9" builtinId="28" customBuiltin="1"/>
    <cellStyle name="ملاحظة" xfId="16" builtinId="10" customBuiltin="1"/>
    <cellStyle name="نص تحذير" xfId="15" builtinId="11" customBuiltin="1"/>
    <cellStyle name="نص توضيحي" xfId="17" builtinId="53" customBuiltin="1"/>
    <cellStyle name="نمط 1" xfId="48" xr:uid="{330FF6F5-766A-4069-9318-C3969286A8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251A-3782-4B0B-A65A-85B267D72DEE}">
  <dimension ref="A1:H49"/>
  <sheetViews>
    <sheetView rightToLeft="1" workbookViewId="0">
      <selection activeCell="E4" sqref="E4"/>
    </sheetView>
  </sheetViews>
  <sheetFormatPr defaultRowHeight="13.5"/>
  <cols>
    <col min="1" max="1" width="12.25" style="6" bestFit="1" customWidth="1"/>
    <col min="2" max="2" width="21.5" style="8" bestFit="1" customWidth="1"/>
    <col min="3" max="3" width="15.75" style="8" bestFit="1" customWidth="1"/>
    <col min="4" max="4" width="14.875" style="8" bestFit="1" customWidth="1"/>
    <col min="5" max="5" width="20.5" style="8" bestFit="1" customWidth="1"/>
    <col min="6" max="6" width="14.875" style="8" bestFit="1" customWidth="1"/>
    <col min="7" max="7" width="20" style="8" bestFit="1" customWidth="1"/>
    <col min="8" max="8" width="14.875" style="8" bestFit="1" customWidth="1"/>
    <col min="9" max="16384" width="9" style="8"/>
  </cols>
  <sheetData>
    <row r="1" spans="1:8" s="2" customFormat="1">
      <c r="A1" s="4" t="s">
        <v>0</v>
      </c>
      <c r="B1" s="5" t="s">
        <v>16</v>
      </c>
      <c r="C1" s="5" t="s">
        <v>17</v>
      </c>
      <c r="D1" s="2" t="s">
        <v>20</v>
      </c>
      <c r="E1" s="5" t="s">
        <v>18</v>
      </c>
      <c r="F1" s="5" t="s">
        <v>21</v>
      </c>
      <c r="G1" s="5" t="s">
        <v>19</v>
      </c>
      <c r="H1" s="5" t="s">
        <v>22</v>
      </c>
    </row>
    <row r="2" spans="1:8">
      <c r="A2" s="6">
        <v>44592</v>
      </c>
      <c r="B2" s="7">
        <v>-0.69348941648053142</v>
      </c>
      <c r="C2" s="7">
        <v>-1.1678636203936605</v>
      </c>
      <c r="D2" s="7">
        <v>-1.1058964892408767</v>
      </c>
      <c r="E2" s="7">
        <v>-2.5274260179321146</v>
      </c>
      <c r="F2" s="7">
        <v>-1.4477401136551151</v>
      </c>
      <c r="G2" s="7">
        <v>6.3555432542026864</v>
      </c>
      <c r="H2" s="7">
        <v>-0.60613860213334192</v>
      </c>
    </row>
    <row r="3" spans="1:8">
      <c r="A3" s="6">
        <v>44620</v>
      </c>
      <c r="B3" s="7">
        <v>-0.14352831796333021</v>
      </c>
      <c r="C3" s="7">
        <v>1.2631167033750899</v>
      </c>
      <c r="D3" s="7">
        <v>1.0786014969127962</v>
      </c>
      <c r="E3" s="7">
        <v>1.2670533199047611</v>
      </c>
      <c r="F3" s="7">
        <v>1.1234231416711253</v>
      </c>
      <c r="G3" s="7">
        <v>4.7770396804206712</v>
      </c>
      <c r="H3" s="7">
        <v>1.5450736812439487</v>
      </c>
    </row>
    <row r="4" spans="1:8">
      <c r="A4" s="6">
        <v>44651</v>
      </c>
      <c r="B4" s="7">
        <v>1.3391479262492112</v>
      </c>
      <c r="C4" s="7">
        <v>1.2939193964370332</v>
      </c>
      <c r="D4" s="7">
        <v>1.2997804692024744</v>
      </c>
      <c r="E4" s="7">
        <v>3.16264095092522</v>
      </c>
      <c r="F4" s="7">
        <v>1.7434751134777429</v>
      </c>
      <c r="G4" s="7">
        <v>2.1329751384840279</v>
      </c>
      <c r="H4" s="7">
        <v>1.789856577257936</v>
      </c>
    </row>
    <row r="5" spans="1:8">
      <c r="A5" s="6">
        <v>44681</v>
      </c>
      <c r="B5" s="7">
        <v>4.2606038279308933</v>
      </c>
      <c r="C5" s="7">
        <v>-1.0776066716627355</v>
      </c>
      <c r="D5" s="7">
        <v>-0.38557004319305577</v>
      </c>
      <c r="E5" s="7">
        <v>5.189453023104889</v>
      </c>
      <c r="F5" s="7">
        <v>0.96080610614741602</v>
      </c>
      <c r="G5" s="7">
        <v>1.4138338360708929</v>
      </c>
      <c r="H5" s="7">
        <v>1.0149342615785457</v>
      </c>
    </row>
    <row r="6" spans="1:8">
      <c r="A6" s="6">
        <v>44712</v>
      </c>
      <c r="B6" s="7">
        <v>-3.5241484537804837</v>
      </c>
      <c r="C6" s="7">
        <v>-5.7875879747527392E-2</v>
      </c>
      <c r="D6" s="7">
        <v>-0.52819656416448879</v>
      </c>
      <c r="E6" s="7">
        <v>-2.4770771659693906</v>
      </c>
      <c r="F6" s="7">
        <v>-1.0185670929782447</v>
      </c>
      <c r="G6" s="7">
        <v>3.6108925937582796</v>
      </c>
      <c r="H6" s="7">
        <v>-0.46325086685519068</v>
      </c>
    </row>
    <row r="7" spans="1:8">
      <c r="A7" s="6">
        <v>44742</v>
      </c>
      <c r="B7" s="7">
        <v>-7.4711724973909099E-2</v>
      </c>
      <c r="C7" s="7">
        <v>2.0460806763974659</v>
      </c>
      <c r="D7" s="7">
        <v>1.7669881829894223</v>
      </c>
      <c r="E7" s="7">
        <v>4.9404907987100586</v>
      </c>
      <c r="F7" s="7">
        <v>2.5537276936944409</v>
      </c>
      <c r="G7" s="7">
        <v>0.24335851926689145</v>
      </c>
      <c r="H7" s="7">
        <v>2.2652492270854623</v>
      </c>
    </row>
    <row r="8" spans="1:8">
      <c r="A8" s="6">
        <v>44773</v>
      </c>
      <c r="B8" s="7">
        <v>-1.4051491429610792</v>
      </c>
      <c r="C8" s="7">
        <v>7.1627312649340524E-2</v>
      </c>
      <c r="D8" s="7">
        <v>-0.11919679707730779</v>
      </c>
      <c r="E8" s="7">
        <v>-4.355866118435145</v>
      </c>
      <c r="F8" s="7">
        <v>-1.1939489127202876</v>
      </c>
      <c r="G8" s="7">
        <v>6.407469156792871</v>
      </c>
      <c r="H8" s="7">
        <v>-0.26358219478721878</v>
      </c>
    </row>
    <row r="9" spans="1:8">
      <c r="A9" s="6">
        <v>44804</v>
      </c>
      <c r="B9" s="7">
        <v>-2.1857500466369828</v>
      </c>
      <c r="C9" s="7">
        <v>0.30301057232975381</v>
      </c>
      <c r="D9" s="7">
        <v>-1.4438322528448566E-2</v>
      </c>
      <c r="E9" s="7">
        <v>1.1136312549974861</v>
      </c>
      <c r="F9" s="7">
        <v>0.26257102478348315</v>
      </c>
      <c r="G9" s="7">
        <v>0.76169148268323283</v>
      </c>
      <c r="H9" s="7">
        <v>0.32774635889458636</v>
      </c>
    </row>
    <row r="10" spans="1:8">
      <c r="A10" s="6">
        <v>44834</v>
      </c>
      <c r="B10" s="7">
        <v>0.16757183654232222</v>
      </c>
      <c r="C10" s="7">
        <v>7.3430694929115248E-2</v>
      </c>
      <c r="D10" s="7">
        <v>8.5177911958083996E-2</v>
      </c>
      <c r="E10" s="7">
        <v>3.44688636488047</v>
      </c>
      <c r="F10" s="7">
        <v>0.91768790148356061</v>
      </c>
      <c r="G10" s="7">
        <v>1.8118279508585005</v>
      </c>
      <c r="H10" s="7">
        <v>1.0349500468097119</v>
      </c>
    </row>
    <row r="11" spans="1:8">
      <c r="A11" s="6">
        <v>44865</v>
      </c>
      <c r="B11" s="7">
        <v>-0.43156268262332276</v>
      </c>
      <c r="C11" s="7">
        <v>-4.7492986454991808</v>
      </c>
      <c r="D11" s="7">
        <v>-4.2100749189777815</v>
      </c>
      <c r="E11" s="7">
        <v>11.173323315387435</v>
      </c>
      <c r="F11" s="7">
        <v>-0.30497795772966185</v>
      </c>
      <c r="G11" s="7">
        <v>3.5055338514381873</v>
      </c>
      <c r="H11" s="7">
        <v>0.19859477187478092</v>
      </c>
    </row>
    <row r="12" spans="1:8">
      <c r="A12" s="6">
        <v>44895</v>
      </c>
      <c r="B12" s="7">
        <v>-0.9172045326045577</v>
      </c>
      <c r="C12" s="7">
        <v>-0.14556085505512328</v>
      </c>
      <c r="D12" s="7">
        <v>-0.24572944773569816</v>
      </c>
      <c r="E12" s="7">
        <v>5.1977593681211971</v>
      </c>
      <c r="F12" s="7">
        <v>1.2952043764692434</v>
      </c>
      <c r="G12" s="7">
        <v>-3.7791602645402662</v>
      </c>
      <c r="H12" s="7">
        <v>0.60247675875938</v>
      </c>
    </row>
    <row r="13" spans="1:8">
      <c r="A13" s="6">
        <v>44926</v>
      </c>
      <c r="B13" s="7">
        <v>1.6477757653496496</v>
      </c>
      <c r="C13" s="7">
        <v>-6.3204784711274442E-2</v>
      </c>
      <c r="D13" s="7">
        <v>0.15740592739987846</v>
      </c>
      <c r="E13" s="7">
        <v>3.062081368909773</v>
      </c>
      <c r="F13" s="7">
        <v>1.0113351400396198</v>
      </c>
      <c r="G13" s="7">
        <v>-3.7154965626895802</v>
      </c>
      <c r="H13" s="7">
        <v>0.39415571453820064</v>
      </c>
    </row>
    <row r="14" spans="1:8">
      <c r="A14" s="6">
        <v>44957</v>
      </c>
      <c r="B14" s="7">
        <v>0.82816773024489976</v>
      </c>
      <c r="C14" s="7">
        <v>-2.2029986249422535</v>
      </c>
      <c r="D14" s="7">
        <v>-1.8063498586915756</v>
      </c>
      <c r="E14" s="7">
        <v>1.0321260729065926</v>
      </c>
      <c r="F14" s="7">
        <v>-0.95494079048629033</v>
      </c>
      <c r="G14" s="7">
        <v>0.44207068451831333</v>
      </c>
      <c r="H14" s="7">
        <v>-0.78000074432495126</v>
      </c>
    </row>
    <row r="15" spans="1:8">
      <c r="A15" s="6">
        <v>44985</v>
      </c>
      <c r="B15" s="7">
        <v>-0.20126748364928915</v>
      </c>
      <c r="C15" s="7">
        <v>0.84722731043839872</v>
      </c>
      <c r="D15" s="7">
        <v>0.70634350129763845</v>
      </c>
      <c r="E15" s="7">
        <v>0.44204136260871962</v>
      </c>
      <c r="F15" s="7">
        <v>0.62547481110534875</v>
      </c>
      <c r="G15" s="7">
        <v>4.3833551452235895</v>
      </c>
      <c r="H15" s="7">
        <v>1.101849466565767</v>
      </c>
    </row>
    <row r="16" spans="1:8">
      <c r="A16" s="6">
        <v>45016</v>
      </c>
      <c r="B16" s="7">
        <v>3.149225211592551</v>
      </c>
      <c r="C16" s="7">
        <v>3.3961818121413359</v>
      </c>
      <c r="D16" s="7">
        <v>3.3632978875897805</v>
      </c>
      <c r="E16" s="7">
        <v>5.1154279390352713</v>
      </c>
      <c r="F16" s="7">
        <v>3.898420937345648</v>
      </c>
      <c r="G16" s="7">
        <v>6.201619519716715</v>
      </c>
      <c r="H16" s="7">
        <v>4.1998667376545313</v>
      </c>
    </row>
    <row r="17" spans="1:8">
      <c r="A17" s="6">
        <v>45046</v>
      </c>
      <c r="B17" s="7">
        <v>3.3208499102980227</v>
      </c>
      <c r="C17" s="7">
        <v>-1.2441897021285229</v>
      </c>
      <c r="D17" s="7">
        <v>-0.6375830507037108</v>
      </c>
      <c r="E17" s="7">
        <v>1.1741527015703781</v>
      </c>
      <c r="F17" s="7">
        <v>-7.7774291017846053E-2</v>
      </c>
      <c r="G17" s="7">
        <v>4.6834884922184727</v>
      </c>
      <c r="H17" s="7">
        <v>0.55735768912796857</v>
      </c>
    </row>
    <row r="18" spans="1:8">
      <c r="A18" s="6">
        <v>45077</v>
      </c>
      <c r="B18" s="7">
        <v>-1.2731750605645544</v>
      </c>
      <c r="C18" s="7">
        <v>-0.23896872500640143</v>
      </c>
      <c r="D18" s="7">
        <v>-0.38186984564104876</v>
      </c>
      <c r="E18" s="7">
        <v>1.9999925212127039</v>
      </c>
      <c r="F18" s="7">
        <v>0.36332351140666219</v>
      </c>
      <c r="G18" s="7">
        <v>-7.7634142700383535</v>
      </c>
      <c r="H18" s="7">
        <v>-0.765230658687301</v>
      </c>
    </row>
    <row r="19" spans="1:8">
      <c r="A19" s="6">
        <v>45107</v>
      </c>
      <c r="B19" s="7">
        <v>4.3104199756242707</v>
      </c>
      <c r="C19" s="7">
        <v>-0.61357309983260677</v>
      </c>
      <c r="D19" s="7">
        <v>6.071059624666475E-2</v>
      </c>
      <c r="E19" s="7">
        <v>6.8703246803863465</v>
      </c>
      <c r="F19" s="7">
        <v>2.2259200654532521</v>
      </c>
      <c r="G19" s="7">
        <v>2.1763857151354387</v>
      </c>
      <c r="H19" s="7">
        <v>2.2195263693793379</v>
      </c>
    </row>
    <row r="20" spans="1:8">
      <c r="A20" s="6">
        <v>45138</v>
      </c>
      <c r="B20" s="7">
        <v>-4.3239495890503861</v>
      </c>
      <c r="C20" s="7">
        <v>0.15436842441694409</v>
      </c>
      <c r="D20" s="7">
        <v>-0.48493093135088827</v>
      </c>
      <c r="E20" s="7">
        <v>0.41820484192729168</v>
      </c>
      <c r="F20" s="7">
        <v>-0.18471995743907144</v>
      </c>
      <c r="G20" s="7">
        <v>0.99096894150801518</v>
      </c>
      <c r="H20" s="7">
        <v>-3.3030776477204427E-2</v>
      </c>
    </row>
    <row r="21" spans="1:8">
      <c r="A21" s="6">
        <v>45169</v>
      </c>
      <c r="B21" s="7">
        <v>-1.1435359972716128</v>
      </c>
      <c r="C21" s="7">
        <v>-0.68920407672510464</v>
      </c>
      <c r="D21" s="7">
        <v>-0.75155989421777747</v>
      </c>
      <c r="E21" s="7">
        <v>4.652225745390794</v>
      </c>
      <c r="F21" s="7">
        <v>1.0555603659483097</v>
      </c>
      <c r="G21" s="7">
        <v>-2.7738645760102401</v>
      </c>
      <c r="H21" s="7">
        <v>0.55642106781017731</v>
      </c>
    </row>
    <row r="22" spans="1:8">
      <c r="A22" s="6">
        <v>45199</v>
      </c>
      <c r="B22" s="7">
        <v>-0.42986638561639268</v>
      </c>
      <c r="C22" s="7">
        <v>0.85993437185609878</v>
      </c>
      <c r="D22" s="7">
        <v>0.68361187110525634</v>
      </c>
      <c r="E22" s="7">
        <v>0.22448031385795275</v>
      </c>
      <c r="F22" s="7">
        <v>0.52460556786397206</v>
      </c>
      <c r="G22" s="7">
        <v>-6.9461708153049386</v>
      </c>
      <c r="H22" s="7">
        <v>-0.41690924106477212</v>
      </c>
    </row>
    <row r="23" spans="1:8">
      <c r="A23" s="6">
        <v>45230</v>
      </c>
      <c r="B23" s="7">
        <v>-8.9284260533133875E-2</v>
      </c>
      <c r="C23" s="7">
        <v>-1.3610306380676462</v>
      </c>
      <c r="D23" s="7">
        <v>-1.1890989522828477</v>
      </c>
      <c r="E23" s="7">
        <v>3.7723257845791522</v>
      </c>
      <c r="F23" s="7">
        <v>0.52401021746646848</v>
      </c>
      <c r="G23" s="7">
        <v>4.0821504600059342</v>
      </c>
      <c r="H23" s="7">
        <v>0.94302864965870015</v>
      </c>
    </row>
    <row r="24" spans="1:8">
      <c r="A24" s="6">
        <v>45260</v>
      </c>
      <c r="B24" s="7">
        <v>1.1677580035001256</v>
      </c>
      <c r="C24" s="7">
        <v>1.6450198570848471</v>
      </c>
      <c r="D24" s="7">
        <v>1.5797790467877917</v>
      </c>
      <c r="E24" s="7">
        <v>-0.43580089378295384</v>
      </c>
      <c r="F24" s="7">
        <v>0.86133921186689122</v>
      </c>
      <c r="G24" s="7">
        <v>-11.728094781260836</v>
      </c>
      <c r="H24" s="7">
        <v>-0.66733942644752631</v>
      </c>
    </row>
    <row r="25" spans="1:8">
      <c r="A25" s="6">
        <v>45291</v>
      </c>
      <c r="B25" s="7">
        <v>0.79271570701288852</v>
      </c>
      <c r="C25" s="7">
        <v>-1.6151331402915474</v>
      </c>
      <c r="D25" s="7">
        <v>-1.2873197380654631</v>
      </c>
      <c r="E25" s="7">
        <v>3.0803402096793064</v>
      </c>
      <c r="F25" s="7">
        <v>0.24948138563016187</v>
      </c>
      <c r="G25" s="7">
        <v>3.0882221854407135</v>
      </c>
      <c r="H25" s="7">
        <v>0.55579490397434483</v>
      </c>
    </row>
    <row r="26" spans="1:8">
      <c r="A26" s="6">
        <v>45322</v>
      </c>
      <c r="B26" s="7">
        <v>0.19922013849497944</v>
      </c>
      <c r="C26" s="7">
        <v>0.39052498108040368</v>
      </c>
      <c r="D26" s="7">
        <v>0.36393122684808077</v>
      </c>
      <c r="E26" s="7">
        <v>2.9145138087628197E-2</v>
      </c>
      <c r="F26" s="7">
        <v>0.24280729408199875</v>
      </c>
      <c r="G26" s="7">
        <v>10.036719926516426</v>
      </c>
      <c r="H26" s="7">
        <v>1.3262316538001215</v>
      </c>
    </row>
    <row r="27" spans="1:8">
      <c r="A27" s="6">
        <v>45351</v>
      </c>
      <c r="B27" s="7">
        <v>2.6703432434115371</v>
      </c>
      <c r="C27" s="7">
        <v>2.2615672126868276</v>
      </c>
      <c r="D27" s="7">
        <v>2.3182989112577843</v>
      </c>
      <c r="E27" s="7">
        <v>-2.9836668297984801</v>
      </c>
      <c r="F27" s="7">
        <v>0.40416281224089801</v>
      </c>
      <c r="G27" s="7">
        <v>7.8195121450437028</v>
      </c>
      <c r="H27" s="7">
        <v>1.2949823434044561</v>
      </c>
    </row>
    <row r="28" spans="1:8">
      <c r="A28" s="6">
        <v>45382</v>
      </c>
      <c r="B28" s="7">
        <v>4.3648991810650415</v>
      </c>
      <c r="C28" s="7">
        <v>4.4434205183433164</v>
      </c>
      <c r="D28" s="7">
        <v>4.4324854939909528</v>
      </c>
      <c r="E28" s="7">
        <v>0.56233377465547107</v>
      </c>
      <c r="F28" s="7">
        <v>3.0824132023565198</v>
      </c>
      <c r="G28" s="7">
        <v>-1.8560470389117683</v>
      </c>
      <c r="H28" s="7">
        <v>2.4509339208207592</v>
      </c>
    </row>
    <row r="29" spans="1:8">
      <c r="A29" s="6">
        <v>45412</v>
      </c>
      <c r="B29" s="7">
        <v>0.34674668528531072</v>
      </c>
      <c r="C29" s="7">
        <v>-2.0154027531737881</v>
      </c>
      <c r="D29" s="7">
        <v>-1.6866584164216363</v>
      </c>
      <c r="E29" s="7">
        <v>-0.11410633035390561</v>
      </c>
      <c r="F29" s="7">
        <v>-1.1514969452779127</v>
      </c>
      <c r="G29" s="7">
        <v>-0.54943491845141068</v>
      </c>
      <c r="H29" s="7">
        <v>-1.0777478995316727</v>
      </c>
    </row>
    <row r="30" spans="1:8">
      <c r="A30" s="6">
        <v>45443</v>
      </c>
      <c r="B30" s="7">
        <v>0.95346831470592974</v>
      </c>
      <c r="C30" s="7">
        <v>0.88033380198409361</v>
      </c>
      <c r="D30" s="7">
        <v>0.89072257176314906</v>
      </c>
      <c r="E30" s="7">
        <v>5.6124051991769193</v>
      </c>
      <c r="F30" s="7">
        <v>2.5144407573960166</v>
      </c>
      <c r="G30" s="7">
        <v>-8.4841072622200358</v>
      </c>
      <c r="H30" s="7">
        <v>1.1599882414039371</v>
      </c>
    </row>
    <row r="31" spans="1:8">
      <c r="A31" s="6">
        <v>45473</v>
      </c>
      <c r="B31" s="7">
        <v>-0.55070186325167469</v>
      </c>
      <c r="C31" s="7">
        <v>2.1949614113756297</v>
      </c>
      <c r="D31" s="7">
        <v>1.8046969218277411</v>
      </c>
      <c r="E31" s="7">
        <v>1.5911269690543008</v>
      </c>
      <c r="F31" s="7">
        <v>1.7290338619283716</v>
      </c>
      <c r="G31" s="7">
        <v>9.3951910260999796</v>
      </c>
      <c r="H31" s="7">
        <v>2.583104709062269</v>
      </c>
    </row>
    <row r="32" spans="1:8">
      <c r="A32" s="6">
        <v>45504</v>
      </c>
      <c r="B32" s="7">
        <v>-1.7422628552155004</v>
      </c>
      <c r="C32" s="7">
        <v>-1.5448795605828423</v>
      </c>
      <c r="D32" s="7">
        <v>-1.5722862174493741</v>
      </c>
      <c r="E32" s="7">
        <v>2.9353732751027337</v>
      </c>
      <c r="F32" s="7">
        <v>2.2511881429849723E-2</v>
      </c>
      <c r="G32" s="7">
        <v>-8.5640331084225352</v>
      </c>
      <c r="H32" s="7">
        <v>-0.99762164597322567</v>
      </c>
    </row>
    <row r="33" spans="1:8">
      <c r="A33" s="6">
        <v>45535</v>
      </c>
      <c r="B33" s="7">
        <v>0.5321907264310255</v>
      </c>
      <c r="C33" s="7">
        <v>2.7083057040029104</v>
      </c>
      <c r="D33" s="7">
        <v>2.4066740835450702</v>
      </c>
      <c r="E33" s="7">
        <v>-6.2463648608357403E-2</v>
      </c>
      <c r="F33" s="7">
        <v>1.5076593479348901</v>
      </c>
      <c r="G33" s="7">
        <v>-0.53063346505692266</v>
      </c>
      <c r="H33" s="7">
        <v>1.2840053950162371</v>
      </c>
    </row>
    <row r="34" spans="1:8">
      <c r="A34" s="6">
        <v>45565</v>
      </c>
      <c r="B34" s="7">
        <v>-0.71150049685576278</v>
      </c>
      <c r="C34" s="7">
        <v>0.37538937106980086</v>
      </c>
      <c r="D34" s="7">
        <v>0.22749302161790297</v>
      </c>
      <c r="E34" s="7">
        <v>1.8508742318007734</v>
      </c>
      <c r="F34" s="7">
        <v>0.80942447908118709</v>
      </c>
      <c r="G34" s="7">
        <v>5.1189992252109704</v>
      </c>
      <c r="H34" s="7">
        <v>1.2738252236071332</v>
      </c>
    </row>
    <row r="35" spans="1:8">
      <c r="A35" s="6">
        <v>45596</v>
      </c>
      <c r="B35" s="7">
        <v>0.98278833629747453</v>
      </c>
      <c r="C35" s="7">
        <v>-1.1971566067756925</v>
      </c>
      <c r="D35" s="7">
        <v>-0.90330401927737114</v>
      </c>
      <c r="E35" s="7">
        <v>2.5597929039044232</v>
      </c>
      <c r="F35" s="7">
        <v>0.3509329330160682</v>
      </c>
      <c r="G35" s="7">
        <v>-5.0864419660982634</v>
      </c>
      <c r="H35" s="7">
        <v>-0.25724655860682333</v>
      </c>
    </row>
    <row r="36" spans="1:8">
      <c r="A36" s="6">
        <v>45626</v>
      </c>
      <c r="B36" s="7">
        <v>-0.15148784257371517</v>
      </c>
      <c r="C36" s="7">
        <v>0.76491490119339289</v>
      </c>
      <c r="D36" s="7">
        <v>0.63903437246273143</v>
      </c>
      <c r="E36" s="7">
        <v>1.9444782818696069</v>
      </c>
      <c r="F36" s="7">
        <v>1.1222365497487488</v>
      </c>
      <c r="G36" s="7">
        <v>-6.3602445297256054</v>
      </c>
      <c r="H36" s="7">
        <v>0.32582963559384837</v>
      </c>
    </row>
    <row r="37" spans="1:8">
      <c r="A37" s="6">
        <v>45657</v>
      </c>
      <c r="B37" s="7">
        <v>1.0771203471840778</v>
      </c>
      <c r="C37" s="7">
        <v>0.29575134067201247</v>
      </c>
      <c r="D37" s="7">
        <v>0.40224003325018032</v>
      </c>
      <c r="E37" s="7">
        <v>-4.0685735879128941</v>
      </c>
      <c r="F37" s="7">
        <v>-1.2660604390842423</v>
      </c>
      <c r="G37" s="7">
        <v>3.2141543210829013</v>
      </c>
      <c r="H37" s="7">
        <v>-0.82098283851547649</v>
      </c>
    </row>
    <row r="38" spans="1:8">
      <c r="A38" s="6">
        <v>45688</v>
      </c>
      <c r="B38" s="7">
        <v>2.0192500780106855</v>
      </c>
      <c r="C38" s="7">
        <v>0.37975698763850119</v>
      </c>
      <c r="D38" s="7">
        <v>0.60469681797724206</v>
      </c>
      <c r="E38" s="7">
        <v>3.7197796745617637</v>
      </c>
      <c r="F38" s="7">
        <v>1.7341071231905119</v>
      </c>
      <c r="G38" s="7">
        <v>-0.2503580525263942</v>
      </c>
      <c r="H38" s="7">
        <v>1.5289437428595249</v>
      </c>
    </row>
    <row r="39" spans="1:8">
      <c r="A39" s="6">
        <v>45716</v>
      </c>
      <c r="B39" s="7">
        <v>1.7933984270599268</v>
      </c>
      <c r="C39" s="7">
        <v>1.6784098669966312</v>
      </c>
      <c r="D39" s="7">
        <v>1.6944082201132602</v>
      </c>
      <c r="E39" s="7">
        <v>4.7386261472595237</v>
      </c>
      <c r="F39" s="7">
        <v>2.819668243745312</v>
      </c>
      <c r="G39" s="7">
        <v>-2.5214180741750738</v>
      </c>
      <c r="H39" s="7">
        <v>2.2771586307809031</v>
      </c>
    </row>
    <row r="40" spans="1:8">
      <c r="A40" s="6">
        <v>45747</v>
      </c>
      <c r="B40" s="7">
        <v>5.7288377543969631</v>
      </c>
      <c r="C40" s="7">
        <v>-0.57398633857238224</v>
      </c>
      <c r="D40" s="7">
        <v>0.30377888327241465</v>
      </c>
      <c r="E40" s="7">
        <v>4.2468045553330569</v>
      </c>
      <c r="F40" s="7">
        <v>1.7884745141311953</v>
      </c>
      <c r="G40" s="7">
        <v>-9.1309514749975733</v>
      </c>
      <c r="H40" s="7">
        <v>0.73139368018908613</v>
      </c>
    </row>
    <row r="41" spans="1:8">
      <c r="A41" s="6">
        <v>45777</v>
      </c>
      <c r="B41" s="7">
        <v>-3.1005698197524509</v>
      </c>
      <c r="C41" s="7">
        <v>-0.19177810753259905</v>
      </c>
      <c r="D41" s="7">
        <v>-0.61878213403653604</v>
      </c>
      <c r="E41" s="7">
        <v>-1.224164669220599</v>
      </c>
      <c r="F41" s="7">
        <v>-0.85223642424868729</v>
      </c>
      <c r="G41" s="7">
        <v>7.4516784268505774</v>
      </c>
      <c r="H41" s="7">
        <v>-0.12706210691345632</v>
      </c>
    </row>
    <row r="42" spans="1:8">
      <c r="A42" s="6">
        <v>45808</v>
      </c>
      <c r="B42" s="7">
        <v>1.0060227601311595</v>
      </c>
      <c r="C42" s="7">
        <v>2.97097732135569</v>
      </c>
      <c r="D42" s="7">
        <v>2.6897297591431197</v>
      </c>
      <c r="E42" s="7">
        <v>2.307040350356516</v>
      </c>
      <c r="F42" s="7">
        <v>2.5427064466787073</v>
      </c>
      <c r="G42" s="7">
        <v>-10.883933610187839</v>
      </c>
      <c r="H42" s="7">
        <v>1.2811919305202792</v>
      </c>
    </row>
    <row r="43" spans="1:8">
      <c r="A43" s="6">
        <v>45838</v>
      </c>
      <c r="B43" s="7">
        <v>-0.76228391469366841</v>
      </c>
      <c r="C43" s="7">
        <v>-0.47981281855885527</v>
      </c>
      <c r="D43" s="7">
        <v>-0.51958052366317986</v>
      </c>
      <c r="E43" s="7">
        <v>1.1971946341572419</v>
      </c>
      <c r="F43" s="7">
        <v>0.13846194955277724</v>
      </c>
      <c r="G43" s="7">
        <v>9.7829806258274346</v>
      </c>
      <c r="H43" s="7">
        <v>0.93578196941410852</v>
      </c>
    </row>
    <row r="44" spans="1:8">
      <c r="A44" s="6">
        <v>45869</v>
      </c>
      <c r="B44" s="7">
        <v>-0.80671044344533982</v>
      </c>
      <c r="C44" s="7">
        <v>-3.2010423701779018</v>
      </c>
      <c r="D44" s="7">
        <v>-2.8647786419915349</v>
      </c>
      <c r="E44" s="7">
        <v>2.127922994310012</v>
      </c>
      <c r="F44" s="7">
        <v>-0.93083561589585884</v>
      </c>
      <c r="G44" s="7">
        <v>5.7656418985028779</v>
      </c>
      <c r="H44" s="7">
        <v>-0.32870821473206036</v>
      </c>
    </row>
    <row r="45" spans="1:8">
      <c r="A45" s="6">
        <v>45900</v>
      </c>
      <c r="B45" s="7">
        <v>-1.1521962086640514</v>
      </c>
      <c r="C45" s="7">
        <v>3.8056337085090348</v>
      </c>
      <c r="D45" s="7">
        <v>3.0945956455336727</v>
      </c>
      <c r="E45" s="7">
        <v>0.19960151177349417</v>
      </c>
      <c r="F45" s="7">
        <v>1.9385852221222279</v>
      </c>
      <c r="G45" s="7">
        <v>-4.1568445989761216</v>
      </c>
      <c r="H45" s="7">
        <v>1.3569899943381358</v>
      </c>
    </row>
    <row r="46" spans="1:8">
      <c r="A46" s="6">
        <v>45930</v>
      </c>
      <c r="B46" s="7">
        <v>-0.92135500070837395</v>
      </c>
      <c r="C46" s="7">
        <v>-1.6407446791760378</v>
      </c>
      <c r="D46" s="7">
        <v>-1.5418218443551979</v>
      </c>
      <c r="E46" s="7">
        <v>2.4193346439272574</v>
      </c>
      <c r="F46" s="7">
        <v>1.2938497676557859E-2</v>
      </c>
      <c r="G46" s="7">
        <v>7.0400808296996189</v>
      </c>
      <c r="H46" s="7">
        <v>0.64695804470477469</v>
      </c>
    </row>
    <row r="47" spans="1:8">
      <c r="A47" s="6">
        <v>45961</v>
      </c>
      <c r="B47" s="7">
        <v>1.3519187787783409</v>
      </c>
      <c r="C47" s="7">
        <v>-4.2288936693173156</v>
      </c>
      <c r="D47" s="7">
        <v>-3.4566434475668046</v>
      </c>
      <c r="E47" s="7">
        <v>0.68248525982048136</v>
      </c>
      <c r="F47" s="7">
        <v>-1.7929391125111209</v>
      </c>
      <c r="G47" s="7">
        <v>5.7207127299580947</v>
      </c>
      <c r="H47" s="7">
        <v>-1.0719632256058844</v>
      </c>
    </row>
    <row r="48" spans="1:8">
      <c r="A48" s="6">
        <v>45991</v>
      </c>
      <c r="B48" s="7">
        <v>-0.4263034054584125</v>
      </c>
      <c r="C48" s="7">
        <v>0.1986256712327048</v>
      </c>
      <c r="D48" s="7">
        <v>0.10784342440832972</v>
      </c>
      <c r="E48" s="7">
        <v>0.86621638754802177</v>
      </c>
      <c r="F48" s="7">
        <v>0.42035151978645047</v>
      </c>
      <c r="G48" s="7">
        <v>-3.5756522763793299</v>
      </c>
      <c r="H48" s="7">
        <v>1.0585202725522436E-2</v>
      </c>
    </row>
    <row r="49" spans="1:8">
      <c r="A49" s="6">
        <v>46022</v>
      </c>
      <c r="B49" s="7">
        <v>1.0193948951120291</v>
      </c>
      <c r="C49" s="7">
        <v>0.9983015980738088</v>
      </c>
      <c r="D49" s="7">
        <v>1.0013494312228346</v>
      </c>
      <c r="E49" s="7">
        <v>0.26967247022156471</v>
      </c>
      <c r="F49" s="7">
        <v>0.69850345785553714</v>
      </c>
      <c r="G49" s="7">
        <v>3.0111696200698645</v>
      </c>
      <c r="H49" s="7">
        <v>0.92714969127895586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D0E4-63C2-47FC-AEB4-BC149735ABD7}">
  <dimension ref="A1:E49"/>
  <sheetViews>
    <sheetView rightToLeft="1" workbookViewId="0">
      <selection activeCell="C1" sqref="C1:D6"/>
    </sheetView>
  </sheetViews>
  <sheetFormatPr defaultRowHeight="13.5"/>
  <cols>
    <col min="1" max="1" width="9.6875" style="30" bestFit="1" customWidth="1"/>
    <col min="2" max="2" width="25.1875" style="31" bestFit="1" customWidth="1"/>
    <col min="3" max="3" width="19.4375" style="31" bestFit="1" customWidth="1"/>
    <col min="4" max="4" width="24.1875" style="31" bestFit="1" customWidth="1"/>
    <col min="5" max="5" width="23.6875" style="31" bestFit="1" customWidth="1"/>
    <col min="6" max="16384" width="9" style="31"/>
  </cols>
  <sheetData>
    <row r="1" spans="1:5" s="37" customFormat="1">
      <c r="A1" s="36" t="s">
        <v>0</v>
      </c>
      <c r="B1" s="26" t="s">
        <v>12</v>
      </c>
      <c r="C1" s="26" t="s">
        <v>13</v>
      </c>
      <c r="D1" s="26" t="s">
        <v>14</v>
      </c>
      <c r="E1" s="26" t="s">
        <v>15</v>
      </c>
    </row>
    <row r="2" spans="1:5">
      <c r="A2" s="28">
        <v>44592</v>
      </c>
      <c r="B2" s="29">
        <v>8.8437574956637057</v>
      </c>
      <c r="C2" s="29">
        <v>58.576308794330686</v>
      </c>
      <c r="D2" s="29">
        <v>21.039298969033315</v>
      </c>
      <c r="E2" s="29">
        <v>11.540634740972292</v>
      </c>
    </row>
    <row r="3" spans="1:5">
      <c r="A3" s="28">
        <v>44620</v>
      </c>
      <c r="B3" s="29">
        <v>8.6966938711440225</v>
      </c>
      <c r="C3" s="29">
        <v>58.413661819902295</v>
      </c>
      <c r="D3" s="29">
        <v>20.981695450815824</v>
      </c>
      <c r="E3" s="29">
        <v>11.907948858137873</v>
      </c>
    </row>
    <row r="4" spans="1:5">
      <c r="A4" s="28">
        <v>44651</v>
      </c>
      <c r="B4" s="29">
        <v>8.6581863489340449</v>
      </c>
      <c r="C4" s="29">
        <v>58.129060704049465</v>
      </c>
      <c r="D4" s="29">
        <v>21.264664153361</v>
      </c>
      <c r="E4" s="29">
        <v>11.948088793655486</v>
      </c>
    </row>
    <row r="5" spans="1:5">
      <c r="A5" s="28">
        <v>44681</v>
      </c>
      <c r="B5" s="29">
        <v>8.936378995773504</v>
      </c>
      <c r="C5" s="29">
        <v>56.924907676348525</v>
      </c>
      <c r="D5" s="29">
        <v>22.143442525239092</v>
      </c>
      <c r="E5" s="29">
        <v>11.995270802638872</v>
      </c>
    </row>
    <row r="6" spans="1:5">
      <c r="A6" s="28">
        <v>44712</v>
      </c>
      <c r="B6" s="29">
        <v>8.6615725434608617</v>
      </c>
      <c r="C6" s="29">
        <v>57.156740983306719</v>
      </c>
      <c r="D6" s="29">
        <v>21.695436665105959</v>
      </c>
      <c r="E6" s="29">
        <v>12.486249808126459</v>
      </c>
    </row>
    <row r="7" spans="1:5">
      <c r="A7" s="28">
        <v>44742</v>
      </c>
      <c r="B7" s="29">
        <v>8.4633845794329012</v>
      </c>
      <c r="C7" s="29">
        <v>57.034246194724695</v>
      </c>
      <c r="D7" s="29">
        <v>22.26298560787691</v>
      </c>
      <c r="E7" s="29">
        <v>12.239383617965492</v>
      </c>
    </row>
    <row r="8" spans="1:5">
      <c r="A8" s="28">
        <v>44773</v>
      </c>
      <c r="B8" s="29">
        <v>8.3665140448962187</v>
      </c>
      <c r="C8" s="29">
        <v>57.225935669789727</v>
      </c>
      <c r="D8" s="29">
        <v>21.349513276501895</v>
      </c>
      <c r="E8" s="29">
        <v>13.058037008812146</v>
      </c>
    </row>
    <row r="9" spans="1:5">
      <c r="A9" s="28">
        <v>44804</v>
      </c>
      <c r="B9" s="29">
        <v>8.1569089880513275</v>
      </c>
      <c r="C9" s="29">
        <v>57.21182662635885</v>
      </c>
      <c r="D9" s="29">
        <v>21.516747771764372</v>
      </c>
      <c r="E9" s="29">
        <v>13.114516613825453</v>
      </c>
    </row>
    <row r="10" spans="1:5">
      <c r="A10" s="28">
        <v>44834</v>
      </c>
      <c r="B10" s="29">
        <v>8.0868824762740452</v>
      </c>
      <c r="C10" s="29">
        <v>56.667358811684878</v>
      </c>
      <c r="D10" s="29">
        <v>22.030401961462516</v>
      </c>
      <c r="E10" s="29">
        <v>13.215356750578543</v>
      </c>
    </row>
    <row r="11" spans="1:5">
      <c r="A11" s="28">
        <v>44865</v>
      </c>
      <c r="B11" s="29">
        <v>8.0360233870056152</v>
      </c>
      <c r="C11" s="29">
        <v>53.869075539522605</v>
      </c>
      <c r="D11" s="29">
        <v>24.443386712216586</v>
      </c>
      <c r="E11" s="29">
        <v>13.651514361255209</v>
      </c>
    </row>
    <row r="12" spans="1:5">
      <c r="A12" s="28">
        <v>44895</v>
      </c>
      <c r="B12" s="29">
        <v>7.9146327931390275</v>
      </c>
      <c r="C12" s="29">
        <v>53.468527799315311</v>
      </c>
      <c r="D12" s="29">
        <v>25.559902661837818</v>
      </c>
      <c r="E12" s="29">
        <v>13.056936745707844</v>
      </c>
    </row>
    <row r="13" spans="1:5">
      <c r="A13" s="28">
        <v>44926</v>
      </c>
      <c r="B13" s="29">
        <v>8.0134626731621346</v>
      </c>
      <c r="C13" s="29">
        <v>53.224943973201341</v>
      </c>
      <c r="D13" s="29">
        <v>26.239144591304864</v>
      </c>
      <c r="E13" s="29">
        <v>12.522448762331667</v>
      </c>
    </row>
    <row r="14" spans="1:5">
      <c r="A14" s="28">
        <v>44957</v>
      </c>
      <c r="B14" s="29">
        <v>8.1433457425009461</v>
      </c>
      <c r="C14" s="29">
        <v>52.461600060300547</v>
      </c>
      <c r="D14" s="29">
        <v>26.718369121962169</v>
      </c>
      <c r="E14" s="29">
        <v>12.676685075236335</v>
      </c>
    </row>
    <row r="15" spans="1:5">
      <c r="A15" s="28">
        <v>44985</v>
      </c>
      <c r="B15" s="29">
        <v>8.0383849339251956</v>
      </c>
      <c r="C15" s="29">
        <v>52.329477000319713</v>
      </c>
      <c r="D15" s="29">
        <v>26.544000437668064</v>
      </c>
      <c r="E15" s="29">
        <v>13.088137628087026</v>
      </c>
    </row>
    <row r="16" spans="1:5">
      <c r="A16" s="28">
        <v>45016</v>
      </c>
      <c r="B16" s="29">
        <v>7.9573343406905996</v>
      </c>
      <c r="C16" s="29">
        <v>51.925864086581242</v>
      </c>
      <c r="D16" s="29">
        <v>26.777231608599877</v>
      </c>
      <c r="E16" s="29">
        <v>13.339569964128284</v>
      </c>
    </row>
    <row r="17" spans="1:5">
      <c r="A17" s="28">
        <v>45046</v>
      </c>
      <c r="B17" s="29">
        <v>8.1760158181786</v>
      </c>
      <c r="C17" s="29">
        <v>50.995580046370883</v>
      </c>
      <c r="D17" s="29">
        <v>26.941476804404036</v>
      </c>
      <c r="E17" s="29">
        <v>13.886927331046465</v>
      </c>
    </row>
    <row r="18" spans="1:5">
      <c r="A18" s="28">
        <v>45077</v>
      </c>
      <c r="B18" s="29">
        <v>8.1341659555541437</v>
      </c>
      <c r="C18" s="29">
        <v>51.266019860384837</v>
      </c>
      <c r="D18" s="29">
        <v>27.692213634395955</v>
      </c>
      <c r="E18" s="29">
        <v>12.907600549665075</v>
      </c>
    </row>
    <row r="19" spans="1:5">
      <c r="A19" s="28">
        <v>45107</v>
      </c>
      <c r="B19" s="29">
        <v>8.3005497786130018</v>
      </c>
      <c r="C19" s="29">
        <v>49.845139341625419</v>
      </c>
      <c r="D19" s="29">
        <v>28.952157844404287</v>
      </c>
      <c r="E19" s="29">
        <v>12.902153035357294</v>
      </c>
    </row>
    <row r="20" spans="1:5">
      <c r="A20" s="28">
        <v>45138</v>
      </c>
      <c r="B20" s="29">
        <v>7.9442622420756868</v>
      </c>
      <c r="C20" s="29">
        <v>49.938579598478576</v>
      </c>
      <c r="D20" s="29">
        <v>29.082843459368295</v>
      </c>
      <c r="E20" s="29">
        <v>13.034314700077438</v>
      </c>
    </row>
    <row r="21" spans="1:5">
      <c r="A21" s="28">
        <v>45169</v>
      </c>
      <c r="B21" s="29">
        <v>7.8099604781319192</v>
      </c>
      <c r="C21" s="29">
        <v>49.319974145244579</v>
      </c>
      <c r="D21" s="29">
        <v>30.267428640635824</v>
      </c>
      <c r="E21" s="29">
        <v>12.602636735987675</v>
      </c>
    </row>
    <row r="22" spans="1:5">
      <c r="A22" s="28">
        <v>45199</v>
      </c>
      <c r="B22" s="29">
        <v>7.8089442936965252</v>
      </c>
      <c r="C22" s="29">
        <v>49.952349516372799</v>
      </c>
      <c r="D22" s="29">
        <v>30.462373509654473</v>
      </c>
      <c r="E22" s="29">
        <v>11.776332680276202</v>
      </c>
    </row>
    <row r="23" spans="1:5">
      <c r="A23" s="28">
        <v>45230</v>
      </c>
      <c r="B23" s="29">
        <v>7.7290846528952795</v>
      </c>
      <c r="C23" s="29">
        <v>48.812169987517947</v>
      </c>
      <c r="D23" s="29">
        <v>31.316192809973575</v>
      </c>
      <c r="E23" s="29">
        <v>12.142552549613209</v>
      </c>
    </row>
    <row r="24" spans="1:5">
      <c r="A24" s="28">
        <v>45260</v>
      </c>
      <c r="B24" s="29">
        <v>7.8718737748263639</v>
      </c>
      <c r="C24" s="29">
        <v>49.948465680880759</v>
      </c>
      <c r="D24" s="29">
        <v>31.389188995618806</v>
      </c>
      <c r="E24" s="29">
        <v>10.790471548674073</v>
      </c>
    </row>
    <row r="25" spans="1:5">
      <c r="A25" s="28">
        <v>45291</v>
      </c>
      <c r="B25" s="29">
        <v>7.8904207979783454</v>
      </c>
      <c r="C25" s="29">
        <v>48.87011385622236</v>
      </c>
      <c r="D25" s="29">
        <v>32.177243327091688</v>
      </c>
      <c r="E25" s="29">
        <v>11.062222018707589</v>
      </c>
    </row>
    <row r="26" spans="1:5">
      <c r="A26" s="28">
        <v>45322</v>
      </c>
      <c r="B26" s="29">
        <v>7.8026587747116753</v>
      </c>
      <c r="C26" s="29">
        <v>48.418818166197319</v>
      </c>
      <c r="D26" s="29">
        <v>31.765339442469077</v>
      </c>
      <c r="E26" s="29">
        <v>12.01318361662193</v>
      </c>
    </row>
    <row r="27" spans="1:5">
      <c r="A27" s="28">
        <v>45351</v>
      </c>
      <c r="B27" s="29">
        <v>7.9086015523949209</v>
      </c>
      <c r="C27" s="29">
        <v>48.88084398371825</v>
      </c>
      <c r="D27" s="29">
        <v>30.42358746031001</v>
      </c>
      <c r="E27" s="29">
        <v>12.786967003576807</v>
      </c>
    </row>
    <row r="28" spans="1:5">
      <c r="A28" s="28">
        <v>45382</v>
      </c>
      <c r="B28" s="29">
        <v>8.0563482643975313</v>
      </c>
      <c r="C28" s="29">
        <v>49.831488578021528</v>
      </c>
      <c r="D28" s="29">
        <v>29.862753219708349</v>
      </c>
      <c r="E28" s="29">
        <v>12.249409937872587</v>
      </c>
    </row>
    <row r="29" spans="1:5">
      <c r="A29" s="28">
        <v>45412</v>
      </c>
      <c r="B29" s="29">
        <v>8.1723608321702343</v>
      </c>
      <c r="C29" s="29">
        <v>49.359150594026389</v>
      </c>
      <c r="D29" s="29">
        <v>30.153658347337082</v>
      </c>
      <c r="E29" s="29">
        <v>12.314830226466288</v>
      </c>
    </row>
    <row r="30" spans="1:5">
      <c r="A30" s="28">
        <v>45443</v>
      </c>
      <c r="B30" s="29">
        <v>8.1556768112509967</v>
      </c>
      <c r="C30" s="29">
        <v>49.222698367908372</v>
      </c>
      <c r="D30" s="29">
        <v>31.480829910902241</v>
      </c>
      <c r="E30" s="29">
        <v>11.140794909938382</v>
      </c>
    </row>
    <row r="31" spans="1:5">
      <c r="A31" s="28">
        <v>45473</v>
      </c>
      <c r="B31" s="29">
        <v>7.9065294134874637</v>
      </c>
      <c r="C31" s="29">
        <v>49.036454633915923</v>
      </c>
      <c r="D31" s="29">
        <v>31.176410556495298</v>
      </c>
      <c r="E31" s="29">
        <v>11.880605396101316</v>
      </c>
    </row>
    <row r="32" spans="1:5">
      <c r="A32" s="28">
        <v>45504</v>
      </c>
      <c r="B32" s="29">
        <v>7.8470608661530186</v>
      </c>
      <c r="C32" s="29">
        <v>48.765394601329191</v>
      </c>
      <c r="D32" s="29">
        <v>32.414932967922674</v>
      </c>
      <c r="E32" s="29">
        <v>10.972611564595129</v>
      </c>
    </row>
    <row r="33" spans="1:5">
      <c r="A33" s="28">
        <v>45535</v>
      </c>
      <c r="B33" s="29">
        <v>7.7888134119627335</v>
      </c>
      <c r="C33" s="29">
        <v>49.451155065951845</v>
      </c>
      <c r="D33" s="29">
        <v>31.984009016779037</v>
      </c>
      <c r="E33" s="29">
        <v>10.776022505306383</v>
      </c>
    </row>
    <row r="34" spans="1:5">
      <c r="A34" s="28">
        <v>45565</v>
      </c>
      <c r="B34" s="29">
        <v>7.6361250784815624</v>
      </c>
      <c r="C34" s="29">
        <v>49.012456413436865</v>
      </c>
      <c r="D34" s="29">
        <v>32.166250979501761</v>
      </c>
      <c r="E34" s="29">
        <v>11.185167528579813</v>
      </c>
    </row>
    <row r="35" spans="1:5">
      <c r="A35" s="28">
        <v>45596</v>
      </c>
      <c r="B35" s="29">
        <v>7.7310599106619744</v>
      </c>
      <c r="C35" s="29">
        <v>48.550595288904177</v>
      </c>
      <c r="D35" s="29">
        <v>33.074723978731122</v>
      </c>
      <c r="E35" s="29">
        <v>10.64362082170272</v>
      </c>
    </row>
    <row r="36" spans="1:5">
      <c r="A36" s="28">
        <v>45626</v>
      </c>
      <c r="B36" s="29">
        <v>7.6942780566416982</v>
      </c>
      <c r="C36" s="29">
        <v>48.763081456273795</v>
      </c>
      <c r="D36" s="29">
        <v>33.608348842722521</v>
      </c>
      <c r="E36" s="29">
        <v>9.9342916443619824</v>
      </c>
    </row>
    <row r="37" spans="1:5">
      <c r="A37" s="28">
        <v>45657</v>
      </c>
      <c r="B37" s="29">
        <v>7.8415323258304168</v>
      </c>
      <c r="C37" s="29">
        <v>49.312143156049054</v>
      </c>
      <c r="D37" s="29">
        <v>32.507852327149735</v>
      </c>
      <c r="E37" s="29">
        <v>10.338472190970787</v>
      </c>
    </row>
    <row r="38" spans="1:5">
      <c r="A38" s="28">
        <v>45688</v>
      </c>
      <c r="B38" s="29">
        <v>7.8794008669075781</v>
      </c>
      <c r="C38" s="29">
        <v>48.753988410245547</v>
      </c>
      <c r="D38" s="29">
        <v>33.209320975549801</v>
      </c>
      <c r="E38" s="29">
        <v>10.157289747297078</v>
      </c>
    </row>
    <row r="39" spans="1:5">
      <c r="A39" s="28">
        <v>45716</v>
      </c>
      <c r="B39" s="29">
        <v>7.8421321294924642</v>
      </c>
      <c r="C39" s="29">
        <v>48.468573849643924</v>
      </c>
      <c r="D39" s="29">
        <v>34.008557734958821</v>
      </c>
      <c r="E39" s="29">
        <v>9.6807362859047803</v>
      </c>
    </row>
    <row r="40" spans="1:5">
      <c r="A40" s="28">
        <v>45747</v>
      </c>
      <c r="B40" s="29">
        <v>8.2311927322288181</v>
      </c>
      <c r="C40" s="29">
        <v>47.840468692655186</v>
      </c>
      <c r="D40" s="29">
        <v>35.195417653615436</v>
      </c>
      <c r="E40" s="29">
        <v>8.7329209215005665</v>
      </c>
    </row>
    <row r="41" spans="1:5">
      <c r="A41" s="28">
        <v>45777</v>
      </c>
      <c r="B41" s="29">
        <v>7.9861261947715185</v>
      </c>
      <c r="C41" s="29">
        <v>47.809468865606455</v>
      </c>
      <c r="D41" s="29">
        <v>34.808796575835721</v>
      </c>
      <c r="E41" s="29">
        <v>9.395608363786307</v>
      </c>
    </row>
    <row r="42" spans="1:5">
      <c r="A42" s="28">
        <v>45808</v>
      </c>
      <c r="B42" s="29">
        <v>7.9644288225570836</v>
      </c>
      <c r="C42" s="29">
        <v>48.60712675739078</v>
      </c>
      <c r="D42" s="29">
        <v>35.161364987433984</v>
      </c>
      <c r="E42" s="29">
        <v>8.2670794326181447</v>
      </c>
    </row>
    <row r="43" spans="1:5">
      <c r="A43" s="28">
        <v>45838</v>
      </c>
      <c r="B43" s="29">
        <v>7.8304414039616939</v>
      </c>
      <c r="C43" s="29">
        <v>47.925426036857857</v>
      </c>
      <c r="D43" s="29">
        <v>35.252429087181653</v>
      </c>
      <c r="E43" s="29">
        <v>8.9917034719987949</v>
      </c>
    </row>
    <row r="44" spans="1:5">
      <c r="A44" s="28">
        <v>45869</v>
      </c>
      <c r="B44" s="29">
        <v>7.7928882793271068</v>
      </c>
      <c r="C44" s="29">
        <v>46.544307806580171</v>
      </c>
      <c r="D44" s="29">
        <v>36.121307336263527</v>
      </c>
      <c r="E44" s="29">
        <v>9.5414965778292</v>
      </c>
    </row>
    <row r="45" spans="1:5">
      <c r="A45" s="28">
        <v>45900</v>
      </c>
      <c r="B45" s="29">
        <v>7.5999681092123721</v>
      </c>
      <c r="C45" s="29">
        <v>47.668753458995305</v>
      </c>
      <c r="D45" s="29">
        <v>35.708840617505352</v>
      </c>
      <c r="E45" s="29">
        <v>9.0224378142869597</v>
      </c>
    </row>
    <row r="46" spans="1:5">
      <c r="A46" s="28">
        <v>45930</v>
      </c>
      <c r="B46" s="29">
        <v>7.4815429788164023</v>
      </c>
      <c r="C46" s="29">
        <v>46.585243939674228</v>
      </c>
      <c r="D46" s="29">
        <v>36.337667506319221</v>
      </c>
      <c r="E46" s="29">
        <v>9.5955455751901404</v>
      </c>
    </row>
    <row r="47" spans="1:5">
      <c r="A47" s="28">
        <v>45961</v>
      </c>
      <c r="B47" s="29">
        <v>7.6648517554045377</v>
      </c>
      <c r="C47" s="29">
        <v>45.098644390991517</v>
      </c>
      <c r="D47" s="29">
        <v>36.982101256336684</v>
      </c>
      <c r="E47" s="29">
        <v>10.254402597267251</v>
      </c>
    </row>
    <row r="48" spans="1:5">
      <c r="A48" s="28">
        <v>45991</v>
      </c>
      <c r="B48" s="29">
        <v>7.6313684355282767</v>
      </c>
      <c r="C48" s="29">
        <v>45.183439117501024</v>
      </c>
      <c r="D48" s="29">
        <v>37.298498156235269</v>
      </c>
      <c r="E48" s="29">
        <v>9.886694290735436</v>
      </c>
    </row>
    <row r="49" spans="1:5" s="29" customFormat="1">
      <c r="A49" s="28">
        <v>46022</v>
      </c>
      <c r="B49" s="29">
        <v>7.6383433390999507</v>
      </c>
      <c r="C49" s="29">
        <v>45.215292665912855</v>
      </c>
      <c r="D49" s="29">
        <v>37.055521781767268</v>
      </c>
      <c r="E49" s="29">
        <v>10.090842213219927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BB93-AEB2-43BF-B7D6-C19BACA4D78B}">
  <dimension ref="A1:F49"/>
  <sheetViews>
    <sheetView rightToLeft="1" workbookViewId="0">
      <selection activeCell="F2" sqref="F2"/>
    </sheetView>
  </sheetViews>
  <sheetFormatPr defaultRowHeight="13.5"/>
  <cols>
    <col min="1" max="1" width="9.6875" style="6" bestFit="1" customWidth="1"/>
    <col min="2" max="2" width="17.0625" style="8" bestFit="1" customWidth="1"/>
    <col min="3" max="3" width="16.4375" style="8" bestFit="1" customWidth="1"/>
    <col min="4" max="4" width="19.625" style="8" bestFit="1" customWidth="1"/>
    <col min="5" max="5" width="14.25" style="8" bestFit="1" customWidth="1"/>
    <col min="6" max="6" width="23.0625" style="8" bestFit="1" customWidth="1"/>
    <col min="7" max="16384" width="9" style="8"/>
  </cols>
  <sheetData>
    <row r="1" spans="1:6" s="2" customFormat="1" ht="30" customHeight="1">
      <c r="A1" s="38" t="s">
        <v>0</v>
      </c>
      <c r="B1" s="39" t="s">
        <v>27</v>
      </c>
      <c r="C1" s="40" t="s">
        <v>24</v>
      </c>
      <c r="D1" s="40" t="s">
        <v>25</v>
      </c>
      <c r="E1" s="40" t="s">
        <v>26</v>
      </c>
      <c r="F1" s="40" t="s">
        <v>23</v>
      </c>
    </row>
    <row r="2" spans="1:6">
      <c r="A2" s="6">
        <v>44592</v>
      </c>
      <c r="B2" s="41">
        <v>16442</v>
      </c>
      <c r="C2" s="41">
        <v>9403.2490849849801</v>
      </c>
      <c r="D2" s="41">
        <v>2105.6265028900002</v>
      </c>
      <c r="E2" s="41">
        <v>641.97306262000097</v>
      </c>
      <c r="F2" s="41">
        <v>12150.848650495</v>
      </c>
    </row>
    <row r="3" spans="1:6">
      <c r="A3" s="6">
        <v>44620</v>
      </c>
      <c r="B3" s="41">
        <v>11615</v>
      </c>
      <c r="C3" s="41">
        <v>6818</v>
      </c>
      <c r="D3" s="41">
        <v>1498</v>
      </c>
      <c r="E3" s="41">
        <v>468</v>
      </c>
      <c r="F3" s="41">
        <v>8783.6901968500206</v>
      </c>
    </row>
    <row r="4" spans="1:6">
      <c r="A4" s="6">
        <v>44651</v>
      </c>
      <c r="B4" s="41">
        <v>18999</v>
      </c>
      <c r="C4" s="41">
        <v>9223.8617483399903</v>
      </c>
      <c r="D4" s="41">
        <v>2955.8153573899999</v>
      </c>
      <c r="E4" s="41">
        <v>3096.0972901599998</v>
      </c>
      <c r="F4" s="41">
        <v>15275.774395889999</v>
      </c>
    </row>
    <row r="5" spans="1:6">
      <c r="A5" s="6">
        <v>44681</v>
      </c>
      <c r="B5" s="41">
        <v>11255</v>
      </c>
      <c r="C5" s="41">
        <v>5901.8857380789996</v>
      </c>
      <c r="D5" s="41">
        <v>1707.11364643</v>
      </c>
      <c r="E5" s="41">
        <v>1610.4302307999999</v>
      </c>
      <c r="F5" s="41">
        <v>9219.4296153089999</v>
      </c>
    </row>
    <row r="6" spans="1:6">
      <c r="A6" s="6">
        <v>44712</v>
      </c>
      <c r="B6" s="41">
        <v>10943</v>
      </c>
      <c r="C6" s="41">
        <v>6784.9657744399801</v>
      </c>
      <c r="D6" s="41">
        <v>1604.62543218</v>
      </c>
      <c r="E6" s="41">
        <v>420.44269408999901</v>
      </c>
      <c r="F6" s="41">
        <v>8810.0339010000007</v>
      </c>
    </row>
    <row r="7" spans="1:6">
      <c r="A7" s="6">
        <v>44742</v>
      </c>
      <c r="B7" s="41">
        <v>16487</v>
      </c>
      <c r="C7" s="41">
        <v>9415.0232927789802</v>
      </c>
      <c r="D7" s="41">
        <v>3167.2209469300001</v>
      </c>
      <c r="E7" s="41">
        <v>539.95888391899996</v>
      </c>
      <c r="F7" s="41">
        <v>13122.20312362798</v>
      </c>
    </row>
    <row r="8" spans="1:6">
      <c r="A8" s="6">
        <v>44773</v>
      </c>
      <c r="B8" s="41">
        <v>9047</v>
      </c>
      <c r="C8" s="41">
        <v>5392.1334301890101</v>
      </c>
      <c r="D8" s="41">
        <v>1513.816244249</v>
      </c>
      <c r="E8" s="41">
        <v>282.59137757000002</v>
      </c>
      <c r="F8" s="41">
        <v>7188.5410520080104</v>
      </c>
    </row>
    <row r="9" spans="1:6">
      <c r="A9" s="6">
        <v>44804</v>
      </c>
      <c r="B9" s="41">
        <v>16255</v>
      </c>
      <c r="C9" s="41">
        <v>8606.7248311640196</v>
      </c>
      <c r="D9" s="41">
        <v>3617.6453752349998</v>
      </c>
      <c r="E9" s="41">
        <v>472.36631746</v>
      </c>
      <c r="F9" s="41">
        <v>12696.736523858999</v>
      </c>
    </row>
    <row r="10" spans="1:6">
      <c r="A10" s="6">
        <v>44834</v>
      </c>
      <c r="B10" s="41">
        <v>12902</v>
      </c>
      <c r="C10" s="41">
        <v>6708.4317107849902</v>
      </c>
      <c r="D10" s="41">
        <v>2824.7089420299999</v>
      </c>
      <c r="E10" s="41">
        <v>396.48727959000001</v>
      </c>
      <c r="F10" s="41">
        <v>9929.6279324049883</v>
      </c>
    </row>
    <row r="11" spans="1:6">
      <c r="A11" s="6">
        <v>44865</v>
      </c>
      <c r="B11" s="41">
        <v>12397</v>
      </c>
      <c r="C11" s="41">
        <v>6189.937355651</v>
      </c>
      <c r="D11" s="41">
        <v>2717.412166219</v>
      </c>
      <c r="E11" s="41">
        <v>444.59536608000002</v>
      </c>
      <c r="F11" s="41">
        <v>9351.9448879500014</v>
      </c>
    </row>
    <row r="12" spans="1:6">
      <c r="A12" s="6">
        <v>44895</v>
      </c>
      <c r="B12" s="41">
        <v>9785</v>
      </c>
      <c r="C12" s="41">
        <v>5127.3594425690098</v>
      </c>
      <c r="D12" s="41">
        <v>1878.8584073280001</v>
      </c>
      <c r="E12" s="41">
        <v>380.07506941999998</v>
      </c>
      <c r="F12" s="41">
        <v>7386.2929193170094</v>
      </c>
    </row>
    <row r="13" spans="1:6">
      <c r="A13" s="6">
        <v>44926</v>
      </c>
      <c r="B13" s="41">
        <v>8265</v>
      </c>
      <c r="C13" s="41">
        <v>4397.3877799790098</v>
      </c>
      <c r="D13" s="41">
        <v>1648.4744421390001</v>
      </c>
      <c r="E13" s="41">
        <v>312.70297092999999</v>
      </c>
      <c r="F13" s="41">
        <v>6358.5651930480108</v>
      </c>
    </row>
    <row r="14" spans="1:6">
      <c r="A14" s="6">
        <v>44957</v>
      </c>
      <c r="B14" s="41">
        <v>11113</v>
      </c>
      <c r="C14" s="41">
        <v>5645.3190004489998</v>
      </c>
      <c r="D14" s="41">
        <v>2314.9669058680001</v>
      </c>
      <c r="E14" s="41">
        <v>412.5751027</v>
      </c>
      <c r="F14" s="41">
        <v>8372.8610090170005</v>
      </c>
    </row>
    <row r="15" spans="1:6">
      <c r="A15" s="6">
        <v>44985</v>
      </c>
      <c r="B15" s="41">
        <v>9574</v>
      </c>
      <c r="C15" s="41">
        <v>4964.27184523099</v>
      </c>
      <c r="D15" s="41">
        <v>1823.338442561</v>
      </c>
      <c r="E15" s="41">
        <v>350.84611689000002</v>
      </c>
      <c r="F15" s="41">
        <v>7138.4564046819905</v>
      </c>
    </row>
    <row r="16" spans="1:6">
      <c r="A16" s="6">
        <v>45016</v>
      </c>
      <c r="B16" s="41">
        <v>9526</v>
      </c>
      <c r="C16" s="41">
        <v>5048.2595882880096</v>
      </c>
      <c r="D16" s="41">
        <v>1745.3328707190001</v>
      </c>
      <c r="E16" s="41">
        <v>457.09992033499998</v>
      </c>
      <c r="F16" s="41">
        <v>7250.6923793420101</v>
      </c>
    </row>
    <row r="17" spans="1:6">
      <c r="A17" s="6">
        <v>45046</v>
      </c>
      <c r="B17" s="41">
        <v>5270</v>
      </c>
      <c r="C17" s="41">
        <v>2781.31664344</v>
      </c>
      <c r="D17" s="41">
        <v>1050.1570333110001</v>
      </c>
      <c r="E17" s="41">
        <v>314.42360589999998</v>
      </c>
      <c r="F17" s="41">
        <v>4145.8972826509998</v>
      </c>
    </row>
    <row r="18" spans="1:6">
      <c r="A18" s="6">
        <v>45077</v>
      </c>
      <c r="B18" s="41">
        <v>8888</v>
      </c>
      <c r="C18" s="41">
        <v>4683.9637809690003</v>
      </c>
      <c r="D18" s="41">
        <v>1733.9135068057001</v>
      </c>
      <c r="E18" s="41">
        <v>382.94372105899998</v>
      </c>
      <c r="F18" s="41">
        <v>6800.8210088337009</v>
      </c>
    </row>
    <row r="19" spans="1:6">
      <c r="A19" s="6">
        <v>45107</v>
      </c>
      <c r="B19" s="41">
        <v>7615</v>
      </c>
      <c r="C19" s="41">
        <v>4243.5372674999999</v>
      </c>
      <c r="D19" s="41">
        <v>1428.8570855</v>
      </c>
      <c r="E19" s="41">
        <v>296.51354718900001</v>
      </c>
      <c r="F19" s="41">
        <v>5968.9079001889995</v>
      </c>
    </row>
    <row r="20" spans="1:6">
      <c r="A20" s="6">
        <v>45138</v>
      </c>
      <c r="B20" s="41">
        <v>7058</v>
      </c>
      <c r="C20" s="41">
        <v>3896.9033336999901</v>
      </c>
      <c r="D20" s="41">
        <v>1226.3487042100001</v>
      </c>
      <c r="E20" s="41">
        <v>301.38915171999997</v>
      </c>
      <c r="F20" s="41">
        <v>5424.6411896299896</v>
      </c>
    </row>
    <row r="21" spans="1:6">
      <c r="A21" s="6">
        <v>45169</v>
      </c>
      <c r="B21" s="41">
        <v>9054</v>
      </c>
      <c r="C21" s="41">
        <v>4966.5151377100001</v>
      </c>
      <c r="D21" s="41">
        <v>1776.0725433990001</v>
      </c>
      <c r="E21" s="41">
        <v>399.13434411999998</v>
      </c>
      <c r="F21" s="41">
        <v>7141.7220252289999</v>
      </c>
    </row>
    <row r="22" spans="1:6">
      <c r="A22" s="6">
        <v>45199</v>
      </c>
      <c r="B22" s="41">
        <v>7767</v>
      </c>
      <c r="C22" s="41">
        <v>3977.94601547</v>
      </c>
      <c r="D22" s="41">
        <v>1562.6319562199999</v>
      </c>
      <c r="E22" s="41">
        <v>296.56003679999998</v>
      </c>
      <c r="F22" s="41">
        <v>5837.1380084899993</v>
      </c>
    </row>
    <row r="23" spans="1:6">
      <c r="A23" s="6">
        <v>45230</v>
      </c>
      <c r="B23" s="41">
        <v>9177</v>
      </c>
      <c r="C23" s="41">
        <v>4455.4934957589903</v>
      </c>
      <c r="D23" s="41">
        <v>1943.385732709</v>
      </c>
      <c r="E23" s="41">
        <v>366.89948203</v>
      </c>
      <c r="F23" s="41">
        <v>6765.7787104979907</v>
      </c>
    </row>
    <row r="24" spans="1:6">
      <c r="A24" s="6">
        <v>45260</v>
      </c>
      <c r="B24" s="41">
        <v>9164</v>
      </c>
      <c r="C24" s="41">
        <v>4362.7700094600004</v>
      </c>
      <c r="D24" s="41">
        <v>1964.2914264589999</v>
      </c>
      <c r="E24" s="41">
        <v>327.96509661900001</v>
      </c>
      <c r="F24" s="41">
        <v>6655.0265325380005</v>
      </c>
    </row>
    <row r="25" spans="1:6">
      <c r="A25" s="6">
        <v>45291</v>
      </c>
      <c r="B25" s="41">
        <v>8647</v>
      </c>
      <c r="C25" s="41">
        <v>4306.9423554200002</v>
      </c>
      <c r="D25" s="41">
        <v>1675.936153759</v>
      </c>
      <c r="E25" s="41">
        <v>254.57984435</v>
      </c>
      <c r="F25" s="41">
        <v>6237.4583535290003</v>
      </c>
    </row>
    <row r="26" spans="1:6">
      <c r="A26" s="6">
        <v>45322</v>
      </c>
      <c r="B26" s="41">
        <v>10505</v>
      </c>
      <c r="C26" s="41">
        <v>5132.3650797</v>
      </c>
      <c r="D26" s="41">
        <v>1966.63045231</v>
      </c>
      <c r="E26" s="41">
        <v>439.73201211000003</v>
      </c>
      <c r="F26" s="41">
        <v>7538.7275441199999</v>
      </c>
    </row>
    <row r="27" spans="1:6">
      <c r="A27" s="6">
        <v>45351</v>
      </c>
      <c r="B27" s="41">
        <v>9504</v>
      </c>
      <c r="C27" s="41">
        <v>4528.8332759100103</v>
      </c>
      <c r="D27" s="41">
        <v>1979.5450361799999</v>
      </c>
      <c r="E27" s="41">
        <v>432.90251125999998</v>
      </c>
      <c r="F27" s="41">
        <v>6941.28082335001</v>
      </c>
    </row>
    <row r="28" spans="1:6">
      <c r="A28" s="6">
        <v>45382</v>
      </c>
      <c r="B28" s="41">
        <v>10320</v>
      </c>
      <c r="C28" s="41">
        <v>4911.6567417200004</v>
      </c>
      <c r="D28" s="41">
        <v>2237.3584823299998</v>
      </c>
      <c r="E28" s="41">
        <v>473.908836449999</v>
      </c>
      <c r="F28" s="41">
        <v>7622.9240604999995</v>
      </c>
    </row>
    <row r="29" spans="1:6">
      <c r="A29" s="6">
        <v>45412</v>
      </c>
      <c r="B29" s="41">
        <v>7085</v>
      </c>
      <c r="C29" s="41">
        <v>3681.1691197800001</v>
      </c>
      <c r="D29" s="41">
        <v>1388.8687470699999</v>
      </c>
      <c r="E29" s="41">
        <v>270.47822669999999</v>
      </c>
      <c r="F29" s="41">
        <v>5340.5160935499998</v>
      </c>
    </row>
    <row r="30" spans="1:6">
      <c r="A30" s="6">
        <v>45443</v>
      </c>
      <c r="B30" s="41">
        <v>10123</v>
      </c>
      <c r="C30" s="41">
        <v>5113.6416322100004</v>
      </c>
      <c r="D30" s="41">
        <v>2152.6967183299998</v>
      </c>
      <c r="E30" s="41">
        <v>407.99114578000001</v>
      </c>
      <c r="F30" s="41">
        <v>7674.3294963199996</v>
      </c>
    </row>
    <row r="31" spans="1:6">
      <c r="A31" s="6">
        <v>45473</v>
      </c>
      <c r="B31" s="41">
        <v>7274</v>
      </c>
      <c r="C31" s="41">
        <v>3427.4877322799998</v>
      </c>
      <c r="D31" s="41">
        <v>1616.411894738</v>
      </c>
      <c r="E31" s="41">
        <v>263.48613864999999</v>
      </c>
      <c r="F31" s="41">
        <v>5307.3857656679993</v>
      </c>
    </row>
    <row r="32" spans="1:6">
      <c r="A32" s="6">
        <v>45504</v>
      </c>
      <c r="B32" s="41">
        <v>9605</v>
      </c>
      <c r="C32" s="41">
        <v>4380.3995587099998</v>
      </c>
      <c r="D32" s="41">
        <v>2262.12601937</v>
      </c>
      <c r="E32" s="41">
        <v>429.31689713999998</v>
      </c>
      <c r="F32" s="41">
        <v>7071.8424752199999</v>
      </c>
    </row>
    <row r="33" spans="1:6">
      <c r="A33" s="6">
        <v>45535</v>
      </c>
      <c r="B33" s="41">
        <v>9109</v>
      </c>
      <c r="C33" s="41">
        <v>3790.8536719899998</v>
      </c>
      <c r="D33" s="41">
        <v>2445.7466725499999</v>
      </c>
      <c r="E33" s="41">
        <v>361.90242272</v>
      </c>
      <c r="F33" s="41">
        <v>6598.5027672599999</v>
      </c>
    </row>
    <row r="34" spans="1:6">
      <c r="A34" s="6">
        <v>45565</v>
      </c>
      <c r="B34" s="41">
        <v>9321</v>
      </c>
      <c r="C34" s="41">
        <v>3883.2588902000002</v>
      </c>
      <c r="D34" s="41">
        <v>2539.8317884990001</v>
      </c>
      <c r="E34" s="41">
        <v>396.88813189000001</v>
      </c>
      <c r="F34" s="41">
        <v>6819.9788105890002</v>
      </c>
    </row>
    <row r="35" spans="1:6">
      <c r="A35" s="6">
        <v>45596</v>
      </c>
      <c r="B35" s="41">
        <v>11020</v>
      </c>
      <c r="C35" s="41">
        <v>4828.3598763399996</v>
      </c>
      <c r="D35" s="41">
        <v>2855.2271283700002</v>
      </c>
      <c r="E35" s="41">
        <v>457.97163739000001</v>
      </c>
      <c r="F35" s="41">
        <v>8141.5586420999998</v>
      </c>
    </row>
    <row r="36" spans="1:6">
      <c r="A36" s="6">
        <v>45626</v>
      </c>
      <c r="B36" s="41">
        <v>13142</v>
      </c>
      <c r="C36" s="41">
        <v>6501.6219221700103</v>
      </c>
      <c r="D36" s="41">
        <v>3154.6157348500001</v>
      </c>
      <c r="E36" s="41">
        <v>407.82690454999999</v>
      </c>
      <c r="F36" s="41">
        <v>10064.06456157001</v>
      </c>
    </row>
    <row r="37" spans="1:6">
      <c r="A37" s="6">
        <v>45657</v>
      </c>
      <c r="B37" s="41">
        <v>15294</v>
      </c>
      <c r="C37" s="41">
        <v>8120</v>
      </c>
      <c r="D37" s="41">
        <v>3486</v>
      </c>
      <c r="E37" s="41">
        <v>335</v>
      </c>
      <c r="F37" s="41">
        <v>11941</v>
      </c>
    </row>
    <row r="38" spans="1:6">
      <c r="A38" s="6">
        <v>45688</v>
      </c>
      <c r="B38" s="41">
        <v>13411</v>
      </c>
      <c r="C38" s="41">
        <v>6637.7408633799896</v>
      </c>
      <c r="D38" s="41">
        <v>3350.6799755100001</v>
      </c>
      <c r="E38" s="41">
        <v>475.30321149000002</v>
      </c>
      <c r="F38" s="41">
        <v>10463.724050379989</v>
      </c>
    </row>
    <row r="39" spans="1:6">
      <c r="A39" s="6">
        <v>45716</v>
      </c>
      <c r="B39" s="41">
        <v>11757</v>
      </c>
      <c r="C39" s="41">
        <v>5572.9402265500003</v>
      </c>
      <c r="D39" s="41">
        <v>2899.0722636300002</v>
      </c>
      <c r="E39" s="41">
        <v>435.53308126000002</v>
      </c>
      <c r="F39" s="41">
        <v>8907.5455714400014</v>
      </c>
    </row>
    <row r="40" spans="1:6">
      <c r="A40" s="6">
        <v>45747</v>
      </c>
      <c r="B40" s="41">
        <v>11112</v>
      </c>
      <c r="C40" s="41">
        <v>5185.7592749699998</v>
      </c>
      <c r="D40" s="41">
        <v>2798.1294127800002</v>
      </c>
      <c r="E40" s="41">
        <v>414.79170886000003</v>
      </c>
      <c r="F40" s="41">
        <v>8398.6803966099997</v>
      </c>
    </row>
    <row r="41" spans="1:6">
      <c r="A41" s="6">
        <v>45777</v>
      </c>
      <c r="B41" s="41">
        <v>8204</v>
      </c>
      <c r="C41" s="41">
        <v>3929.8661614900002</v>
      </c>
      <c r="D41" s="41">
        <v>2063.8888158989998</v>
      </c>
      <c r="E41" s="41">
        <v>303.50808763999999</v>
      </c>
      <c r="F41" s="41">
        <v>6297.2630650290002</v>
      </c>
    </row>
    <row r="42" spans="1:6">
      <c r="A42" s="6">
        <v>45808</v>
      </c>
      <c r="B42" s="41">
        <v>9961</v>
      </c>
      <c r="C42" s="41">
        <v>4992.2529908799997</v>
      </c>
      <c r="D42" s="41">
        <v>1850.3358495</v>
      </c>
      <c r="E42" s="41">
        <v>533.82660405000001</v>
      </c>
      <c r="F42" s="41">
        <v>7376.4154444300002</v>
      </c>
    </row>
    <row r="43" spans="1:6">
      <c r="A43" s="6">
        <v>45838</v>
      </c>
      <c r="B43" s="41">
        <v>7404</v>
      </c>
      <c r="C43" s="41">
        <v>3258.6926986990002</v>
      </c>
      <c r="D43" s="41">
        <v>1576.8405821399999</v>
      </c>
      <c r="E43" s="41">
        <v>482.41779649</v>
      </c>
      <c r="F43" s="41">
        <v>5317.9510773290003</v>
      </c>
    </row>
    <row r="44" spans="1:6">
      <c r="A44" s="6">
        <v>45869</v>
      </c>
      <c r="B44" s="41">
        <v>8575</v>
      </c>
      <c r="C44" s="41">
        <v>4113.9965127089999</v>
      </c>
      <c r="D44" s="41">
        <v>1931.4809538300001</v>
      </c>
      <c r="E44" s="41">
        <v>370.98760953999999</v>
      </c>
      <c r="F44" s="41">
        <v>6416.4650760789991</v>
      </c>
    </row>
    <row r="45" spans="1:6">
      <c r="A45" s="6">
        <v>45900</v>
      </c>
      <c r="B45" s="41">
        <v>7962</v>
      </c>
      <c r="C45" s="41">
        <v>3741.2071989999999</v>
      </c>
      <c r="D45" s="41">
        <v>1762.4640568</v>
      </c>
      <c r="E45" s="41">
        <v>356.8006977</v>
      </c>
      <c r="F45" s="41">
        <v>5860.4719535000004</v>
      </c>
    </row>
    <row r="46" spans="1:6">
      <c r="A46" s="6">
        <v>45930</v>
      </c>
      <c r="B46" s="41">
        <v>7998</v>
      </c>
      <c r="C46" s="41">
        <v>3691.8020659500098</v>
      </c>
      <c r="D46" s="41">
        <v>1825.53133987</v>
      </c>
      <c r="E46" s="41">
        <v>303.08282793000001</v>
      </c>
      <c r="F46" s="41">
        <v>5820.4162337500102</v>
      </c>
    </row>
    <row r="47" spans="1:6">
      <c r="A47" s="6">
        <v>45961</v>
      </c>
      <c r="B47" s="41">
        <v>8025</v>
      </c>
      <c r="C47" s="41">
        <v>3668.25</v>
      </c>
      <c r="D47" s="41">
        <v>1522.43</v>
      </c>
      <c r="E47" s="41">
        <v>356.91</v>
      </c>
      <c r="F47" s="41">
        <v>5547.59</v>
      </c>
    </row>
    <row r="48" spans="1:6">
      <c r="A48" s="6">
        <v>45991</v>
      </c>
      <c r="B48" s="41">
        <v>6773</v>
      </c>
      <c r="C48" s="41">
        <v>2872.3044845999998</v>
      </c>
      <c r="D48" s="41">
        <v>1295.21518302</v>
      </c>
      <c r="E48" s="41">
        <v>297.14521917000002</v>
      </c>
      <c r="F48" s="41">
        <v>4464.6648867899994</v>
      </c>
    </row>
    <row r="49" spans="1:6">
      <c r="A49" s="6">
        <v>46022</v>
      </c>
      <c r="B49" s="41">
        <v>7613</v>
      </c>
      <c r="C49" s="41">
        <v>3773.8465001200002</v>
      </c>
      <c r="D49" s="41">
        <v>1428.0128914899999</v>
      </c>
      <c r="E49" s="41">
        <v>345.65214956</v>
      </c>
      <c r="F49" s="41">
        <v>5547.5115411699999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DDC9-A801-435C-9869-369D8A1B1C2C}">
  <dimension ref="A1:M72"/>
  <sheetViews>
    <sheetView rightToLeft="1" workbookViewId="0">
      <pane ySplit="1" topLeftCell="A2" activePane="bottomLeft" state="frozen"/>
      <selection pane="bottomLeft" activeCell="K1" sqref="K1:L1048576"/>
    </sheetView>
  </sheetViews>
  <sheetFormatPr defaultRowHeight="13.5"/>
  <cols>
    <col min="1" max="1" width="9.6875" style="24" bestFit="1" customWidth="1"/>
    <col min="2" max="3" width="6.1875" style="15" customWidth="1"/>
    <col min="4" max="5" width="6.1875" style="15" bestFit="1" customWidth="1"/>
    <col min="6" max="6" width="8.5" style="15" bestFit="1" customWidth="1"/>
    <col min="7" max="7" width="11.6875" style="25" bestFit="1" customWidth="1"/>
    <col min="8" max="8" width="7.6875" style="15" bestFit="1" customWidth="1"/>
    <col min="9" max="9" width="10.1875" style="16" bestFit="1" customWidth="1"/>
    <col min="10" max="10" width="12.4375" style="73" bestFit="1" customWidth="1"/>
    <col min="11" max="11" width="17.0625" style="56" bestFit="1" customWidth="1"/>
    <col min="12" max="12" width="14.5" style="56" bestFit="1" customWidth="1"/>
    <col min="13" max="13" width="18.4375" style="16" bestFit="1" customWidth="1"/>
    <col min="14" max="16384" width="9" style="16"/>
  </cols>
  <sheetData>
    <row r="1" spans="1:13" s="12" customFormat="1">
      <c r="A1" s="52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10</v>
      </c>
      <c r="J1" s="71" t="s">
        <v>45</v>
      </c>
      <c r="K1" s="55" t="s">
        <v>17</v>
      </c>
      <c r="L1" s="82" t="s">
        <v>46</v>
      </c>
    </row>
    <row r="2" spans="1:13" customFormat="1">
      <c r="A2" s="70">
        <v>46022</v>
      </c>
      <c r="B2" s="66"/>
      <c r="C2" s="66"/>
      <c r="D2" s="66"/>
      <c r="E2" s="66"/>
      <c r="F2" s="66"/>
      <c r="G2" s="66"/>
      <c r="H2" s="66"/>
      <c r="I2" s="66"/>
      <c r="J2" s="72">
        <f>24824510-J6-J11-J16</f>
        <v>6387122</v>
      </c>
      <c r="K2" s="74">
        <v>421380121</v>
      </c>
      <c r="L2" s="74">
        <f>234601072+11306307</f>
        <v>245907379</v>
      </c>
      <c r="M2" s="80"/>
    </row>
    <row r="3" spans="1:13">
      <c r="A3" s="30">
        <v>45992</v>
      </c>
      <c r="B3" s="13">
        <v>96.8</v>
      </c>
      <c r="C3" s="13">
        <v>99.2</v>
      </c>
      <c r="D3" s="13">
        <v>94.25</v>
      </c>
      <c r="E3" s="13">
        <v>97.5</v>
      </c>
      <c r="F3" s="13">
        <v>97.5</v>
      </c>
      <c r="G3" s="14">
        <v>56512670</v>
      </c>
    </row>
    <row r="4" spans="1:13">
      <c r="A4" s="30">
        <v>45962</v>
      </c>
      <c r="B4" s="13">
        <v>103.6</v>
      </c>
      <c r="C4" s="13">
        <v>105.5</v>
      </c>
      <c r="D4" s="13">
        <v>94.8</v>
      </c>
      <c r="E4" s="13">
        <v>96.8</v>
      </c>
      <c r="F4" s="13">
        <v>96.8</v>
      </c>
      <c r="G4" s="14">
        <v>59045313</v>
      </c>
      <c r="M4" s="15"/>
    </row>
    <row r="5" spans="1:13">
      <c r="A5" s="30">
        <v>45931</v>
      </c>
      <c r="B5" s="13">
        <v>105</v>
      </c>
      <c r="C5" s="13">
        <v>110</v>
      </c>
      <c r="D5" s="13">
        <v>104</v>
      </c>
      <c r="E5" s="13">
        <v>105.7</v>
      </c>
      <c r="F5" s="13">
        <v>105.7</v>
      </c>
      <c r="G5" s="14">
        <v>85417637</v>
      </c>
    </row>
    <row r="6" spans="1:13">
      <c r="A6" s="62">
        <v>45930</v>
      </c>
      <c r="B6" s="63"/>
      <c r="C6" s="63"/>
      <c r="D6" s="63"/>
      <c r="E6" s="63"/>
      <c r="F6" s="63"/>
      <c r="G6" s="64"/>
      <c r="H6" s="65"/>
      <c r="I6" s="66"/>
      <c r="J6" s="72">
        <v>6366240</v>
      </c>
      <c r="K6" s="74">
        <v>427438460</v>
      </c>
      <c r="L6" s="74">
        <f>230609182+12132607</f>
        <v>242741789</v>
      </c>
      <c r="M6" s="81"/>
    </row>
    <row r="7" spans="1:13" ht="13.5" customHeight="1">
      <c r="A7" s="53">
        <v>45924</v>
      </c>
      <c r="B7" s="17"/>
      <c r="C7" s="17"/>
      <c r="D7" s="17"/>
      <c r="E7" s="17"/>
      <c r="F7" s="17"/>
      <c r="G7" s="18"/>
      <c r="H7" s="19">
        <v>0.75</v>
      </c>
    </row>
    <row r="8" spans="1:13">
      <c r="A8" s="30">
        <v>45901</v>
      </c>
      <c r="B8" s="13">
        <v>94</v>
      </c>
      <c r="C8" s="13">
        <v>108</v>
      </c>
      <c r="D8" s="13">
        <v>90.15</v>
      </c>
      <c r="E8" s="13">
        <v>107.2</v>
      </c>
      <c r="F8" s="13">
        <v>106.34</v>
      </c>
      <c r="G8" s="14">
        <v>86703914</v>
      </c>
    </row>
    <row r="9" spans="1:13">
      <c r="A9" s="30">
        <v>45870</v>
      </c>
      <c r="B9" s="13">
        <v>94.55</v>
      </c>
      <c r="C9" s="13">
        <v>97.05</v>
      </c>
      <c r="D9" s="13">
        <v>92.8</v>
      </c>
      <c r="E9" s="13">
        <v>94</v>
      </c>
      <c r="F9" s="13">
        <v>93.25</v>
      </c>
      <c r="G9" s="14">
        <v>40899343</v>
      </c>
    </row>
    <row r="10" spans="1:13">
      <c r="A10" s="30">
        <v>45839</v>
      </c>
      <c r="B10" s="13">
        <v>94.95</v>
      </c>
      <c r="C10" s="13">
        <v>96.95</v>
      </c>
      <c r="D10" s="13">
        <v>92.8</v>
      </c>
      <c r="E10" s="13">
        <v>94.75</v>
      </c>
      <c r="F10" s="13">
        <v>93.99</v>
      </c>
      <c r="G10" s="14">
        <v>53355953</v>
      </c>
    </row>
    <row r="11" spans="1:13">
      <c r="A11" s="62">
        <v>45838</v>
      </c>
      <c r="B11" s="63"/>
      <c r="C11" s="63"/>
      <c r="D11" s="63"/>
      <c r="E11" s="63"/>
      <c r="F11" s="63"/>
      <c r="G11" s="64"/>
      <c r="H11" s="65"/>
      <c r="I11" s="66"/>
      <c r="J11" s="72">
        <v>6161427</v>
      </c>
      <c r="K11" s="74">
        <v>427530021</v>
      </c>
      <c r="L11" s="74">
        <f>202994355+11462344</f>
        <v>214456699</v>
      </c>
      <c r="M11" s="81"/>
    </row>
    <row r="12" spans="1:13">
      <c r="A12" s="30">
        <v>45809</v>
      </c>
      <c r="B12" s="13">
        <v>91.8</v>
      </c>
      <c r="C12" s="13">
        <v>97.15</v>
      </c>
      <c r="D12" s="13">
        <v>87.8</v>
      </c>
      <c r="E12" s="13">
        <v>94.6</v>
      </c>
      <c r="F12" s="13">
        <v>93.84</v>
      </c>
      <c r="G12" s="14">
        <v>66813358</v>
      </c>
    </row>
    <row r="13" spans="1:13">
      <c r="A13" s="30">
        <v>45778</v>
      </c>
      <c r="B13" s="13">
        <v>97.4</v>
      </c>
      <c r="C13" s="13">
        <v>98.7</v>
      </c>
      <c r="D13" s="13">
        <v>89.8</v>
      </c>
      <c r="E13" s="13">
        <v>91.1</v>
      </c>
      <c r="F13" s="13">
        <v>90.37</v>
      </c>
      <c r="G13" s="14">
        <v>66552608</v>
      </c>
    </row>
    <row r="14" spans="1:13" ht="13.5" customHeight="1">
      <c r="A14" s="53">
        <v>45761</v>
      </c>
      <c r="B14" s="17"/>
      <c r="C14" s="17"/>
      <c r="D14" s="17"/>
      <c r="E14" s="17"/>
      <c r="F14" s="17"/>
      <c r="G14" s="18"/>
      <c r="H14" s="19">
        <v>1.46</v>
      </c>
    </row>
    <row r="15" spans="1:13">
      <c r="A15" s="30">
        <v>45748</v>
      </c>
      <c r="B15" s="13">
        <v>102</v>
      </c>
      <c r="C15" s="13">
        <v>102.4</v>
      </c>
      <c r="D15" s="13">
        <v>91</v>
      </c>
      <c r="E15" s="13">
        <v>97.4</v>
      </c>
      <c r="F15" s="13">
        <v>95.18</v>
      </c>
      <c r="G15" s="14">
        <v>83349213</v>
      </c>
    </row>
    <row r="16" spans="1:13">
      <c r="A16" s="62">
        <v>45747</v>
      </c>
      <c r="B16" s="63"/>
      <c r="C16" s="63"/>
      <c r="D16" s="63"/>
      <c r="E16" s="63"/>
      <c r="F16" s="63"/>
      <c r="G16" s="64"/>
      <c r="H16" s="65"/>
      <c r="I16" s="66"/>
      <c r="J16" s="72">
        <v>5909721</v>
      </c>
      <c r="K16" s="74">
        <v>421647658</v>
      </c>
      <c r="L16" s="74">
        <f>195215798+12365686</f>
        <v>207581484</v>
      </c>
      <c r="M16" s="81"/>
    </row>
    <row r="17" spans="1:13">
      <c r="A17" s="30">
        <v>45717</v>
      </c>
      <c r="B17" s="13">
        <v>100</v>
      </c>
      <c r="C17" s="13">
        <v>104</v>
      </c>
      <c r="D17" s="13">
        <v>98.8</v>
      </c>
      <c r="E17" s="13">
        <v>102</v>
      </c>
      <c r="F17" s="13">
        <v>99.67</v>
      </c>
      <c r="G17" s="14">
        <v>74338878</v>
      </c>
    </row>
    <row r="18" spans="1:13">
      <c r="A18" s="30">
        <v>45689</v>
      </c>
      <c r="B18" s="13">
        <v>99</v>
      </c>
      <c r="C18" s="13">
        <v>102.2</v>
      </c>
      <c r="D18" s="13">
        <v>98</v>
      </c>
      <c r="E18" s="13">
        <v>99.8</v>
      </c>
      <c r="F18" s="13">
        <v>97.52</v>
      </c>
      <c r="G18" s="14">
        <v>69085744</v>
      </c>
    </row>
    <row r="19" spans="1:13">
      <c r="A19" s="30">
        <v>45658</v>
      </c>
      <c r="B19" s="13">
        <v>94.7</v>
      </c>
      <c r="C19" s="13">
        <v>100.8</v>
      </c>
      <c r="D19" s="13">
        <v>93.9</v>
      </c>
      <c r="E19" s="13">
        <v>99</v>
      </c>
      <c r="F19" s="13">
        <v>96.74</v>
      </c>
      <c r="G19" s="14">
        <v>65266214</v>
      </c>
    </row>
    <row r="20" spans="1:13">
      <c r="A20" s="62">
        <v>45657</v>
      </c>
      <c r="B20" s="63"/>
      <c r="C20" s="63"/>
      <c r="D20" s="63"/>
      <c r="E20" s="63"/>
      <c r="F20" s="63"/>
      <c r="G20" s="64"/>
      <c r="H20" s="65"/>
      <c r="I20" s="66"/>
      <c r="J20" s="72">
        <f>19731186-J33-J29-J24</f>
        <v>6472945</v>
      </c>
      <c r="K20" s="74">
        <v>446437107</v>
      </c>
      <c r="L20" s="74">
        <f>167091393+14710001</f>
        <v>181801394</v>
      </c>
      <c r="M20" s="81"/>
    </row>
    <row r="21" spans="1:13">
      <c r="A21" s="30">
        <v>45627</v>
      </c>
      <c r="B21" s="13">
        <v>91.1</v>
      </c>
      <c r="C21" s="13">
        <v>95</v>
      </c>
      <c r="D21" s="13">
        <v>89.2</v>
      </c>
      <c r="E21" s="13">
        <v>94.6</v>
      </c>
      <c r="F21" s="13">
        <v>92.44</v>
      </c>
      <c r="G21" s="14">
        <v>88472575</v>
      </c>
      <c r="M21" s="57"/>
    </row>
    <row r="22" spans="1:13">
      <c r="A22" s="30">
        <v>45597</v>
      </c>
      <c r="B22" s="13">
        <v>88</v>
      </c>
      <c r="C22" s="13">
        <v>96</v>
      </c>
      <c r="D22" s="13">
        <v>87.6</v>
      </c>
      <c r="E22" s="13">
        <v>91.1</v>
      </c>
      <c r="F22" s="13">
        <v>89.02</v>
      </c>
      <c r="G22" s="14">
        <v>97242668</v>
      </c>
    </row>
    <row r="23" spans="1:13">
      <c r="A23" s="30">
        <v>45566</v>
      </c>
      <c r="B23" s="13">
        <v>87.2</v>
      </c>
      <c r="C23" s="13">
        <v>89</v>
      </c>
      <c r="D23" s="13">
        <v>80.099999999999994</v>
      </c>
      <c r="E23" s="13">
        <v>88</v>
      </c>
      <c r="F23" s="13">
        <v>85.99</v>
      </c>
      <c r="G23" s="14">
        <v>104915122</v>
      </c>
    </row>
    <row r="24" spans="1:13">
      <c r="A24" s="62">
        <v>45565</v>
      </c>
      <c r="B24" s="63"/>
      <c r="C24" s="63"/>
      <c r="D24" s="63"/>
      <c r="E24" s="63"/>
      <c r="F24" s="63"/>
      <c r="G24" s="64"/>
      <c r="H24" s="65"/>
      <c r="I24" s="66"/>
      <c r="J24" s="72">
        <v>4155300</v>
      </c>
      <c r="K24" s="74">
        <v>434728318</v>
      </c>
      <c r="L24" s="74">
        <f>173243215+14600954</f>
        <v>187844169</v>
      </c>
      <c r="M24" s="81"/>
    </row>
    <row r="25" spans="1:13">
      <c r="A25" s="30">
        <v>45536</v>
      </c>
      <c r="B25" s="13">
        <v>88</v>
      </c>
      <c r="C25" s="13">
        <v>91</v>
      </c>
      <c r="D25" s="13">
        <v>86.6</v>
      </c>
      <c r="E25" s="13">
        <v>87.2</v>
      </c>
      <c r="F25" s="13">
        <v>85.21</v>
      </c>
      <c r="G25" s="14">
        <v>79157662</v>
      </c>
    </row>
    <row r="26" spans="1:13" ht="13.5" customHeight="1">
      <c r="A26" s="53">
        <v>45517</v>
      </c>
      <c r="B26" s="17"/>
      <c r="C26" s="17"/>
      <c r="D26" s="17"/>
      <c r="E26" s="17"/>
      <c r="F26" s="17"/>
      <c r="G26" s="18"/>
      <c r="H26" s="19">
        <v>1.25</v>
      </c>
    </row>
    <row r="27" spans="1:13">
      <c r="A27" s="30">
        <v>45505</v>
      </c>
      <c r="B27" s="13">
        <v>85.1</v>
      </c>
      <c r="C27" s="13">
        <v>89.9</v>
      </c>
      <c r="D27" s="13">
        <v>81</v>
      </c>
      <c r="E27" s="13">
        <v>88.1</v>
      </c>
      <c r="F27" s="13">
        <v>84.83</v>
      </c>
      <c r="G27" s="14">
        <v>109167575</v>
      </c>
    </row>
    <row r="28" spans="1:13">
      <c r="A28" s="30">
        <v>45474</v>
      </c>
      <c r="B28" s="13">
        <v>80</v>
      </c>
      <c r="C28" s="13">
        <v>86.4</v>
      </c>
      <c r="D28" s="13">
        <v>78.599999999999994</v>
      </c>
      <c r="E28" s="13">
        <v>85.6</v>
      </c>
      <c r="F28" s="13">
        <v>82.43</v>
      </c>
      <c r="G28" s="14">
        <v>76349392</v>
      </c>
    </row>
    <row r="29" spans="1:13">
      <c r="A29" s="62">
        <v>45473</v>
      </c>
      <c r="B29" s="63"/>
      <c r="C29" s="63"/>
      <c r="D29" s="63"/>
      <c r="E29" s="63"/>
      <c r="F29" s="63"/>
      <c r="G29" s="64"/>
      <c r="H29" s="65"/>
      <c r="I29" s="66"/>
      <c r="J29" s="72">
        <v>4698183</v>
      </c>
      <c r="K29" s="74">
        <v>422257918</v>
      </c>
      <c r="L29" s="74">
        <f>186325396+13988978</f>
        <v>200314374</v>
      </c>
      <c r="M29" s="81"/>
    </row>
    <row r="30" spans="1:13">
      <c r="A30" s="30">
        <v>45444</v>
      </c>
      <c r="B30" s="13">
        <v>77.2</v>
      </c>
      <c r="C30" s="13">
        <v>83.9</v>
      </c>
      <c r="D30" s="13">
        <v>75.7</v>
      </c>
      <c r="E30" s="13">
        <v>81.5</v>
      </c>
      <c r="F30" s="13">
        <v>78.48</v>
      </c>
      <c r="G30" s="14">
        <v>87003266</v>
      </c>
    </row>
    <row r="31" spans="1:13">
      <c r="A31" s="30">
        <v>45413</v>
      </c>
      <c r="B31" s="13">
        <v>79.599999999999994</v>
      </c>
      <c r="C31" s="13">
        <v>82.4</v>
      </c>
      <c r="D31" s="13">
        <v>76.099999999999994</v>
      </c>
      <c r="E31" s="13">
        <v>77.2</v>
      </c>
      <c r="F31" s="13">
        <v>74.34</v>
      </c>
      <c r="G31" s="14">
        <v>96818627</v>
      </c>
    </row>
    <row r="32" spans="1:13">
      <c r="A32" s="30">
        <v>45383</v>
      </c>
      <c r="B32" s="13">
        <v>82.2</v>
      </c>
      <c r="C32" s="13">
        <v>85</v>
      </c>
      <c r="D32" s="13">
        <v>77.2</v>
      </c>
      <c r="E32" s="13">
        <v>79.900000000000006</v>
      </c>
      <c r="F32" s="13">
        <v>76.94</v>
      </c>
      <c r="G32" s="14">
        <v>76728723</v>
      </c>
    </row>
    <row r="33" spans="1:13">
      <c r="A33" s="62">
        <v>45382</v>
      </c>
      <c r="B33" s="63"/>
      <c r="C33" s="63"/>
      <c r="D33" s="63"/>
      <c r="E33" s="63"/>
      <c r="F33" s="63"/>
      <c r="G33" s="64"/>
      <c r="H33" s="65"/>
      <c r="I33" s="66"/>
      <c r="J33" s="72">
        <v>4404758</v>
      </c>
      <c r="K33" s="74">
        <v>393295773</v>
      </c>
      <c r="L33" s="74">
        <f>196076636+14605741</f>
        <v>210682377</v>
      </c>
      <c r="M33" s="81"/>
    </row>
    <row r="34" spans="1:13" ht="13.5" customHeight="1">
      <c r="A34" s="58">
        <v>45376</v>
      </c>
      <c r="B34" s="59"/>
      <c r="C34" s="59"/>
      <c r="D34" s="59"/>
      <c r="E34" s="59"/>
      <c r="F34" s="59"/>
      <c r="G34" s="60"/>
      <c r="H34" s="61">
        <v>1.1499999999999999</v>
      </c>
    </row>
    <row r="35" spans="1:13">
      <c r="A35" s="30">
        <v>45352</v>
      </c>
      <c r="B35" s="13">
        <v>89</v>
      </c>
      <c r="C35" s="13">
        <v>89.4</v>
      </c>
      <c r="D35" s="13">
        <v>81.7</v>
      </c>
      <c r="E35" s="13">
        <v>82.3</v>
      </c>
      <c r="F35" s="13">
        <v>78.209999999999994</v>
      </c>
      <c r="G35" s="14">
        <v>73495113</v>
      </c>
    </row>
    <row r="36" spans="1:13">
      <c r="A36" s="30">
        <v>45323</v>
      </c>
      <c r="B36" s="13">
        <v>83.8</v>
      </c>
      <c r="C36" s="13">
        <v>91.6</v>
      </c>
      <c r="D36" s="13">
        <v>83.3</v>
      </c>
      <c r="E36" s="13">
        <v>89</v>
      </c>
      <c r="F36" s="13">
        <v>84.58</v>
      </c>
      <c r="G36" s="14">
        <v>71723816</v>
      </c>
    </row>
    <row r="37" spans="1:13">
      <c r="A37" s="30">
        <v>45292</v>
      </c>
      <c r="B37" s="13">
        <v>86.5</v>
      </c>
      <c r="C37" s="13">
        <v>92.5</v>
      </c>
      <c r="D37" s="13">
        <v>83.3</v>
      </c>
      <c r="E37" s="13">
        <v>84</v>
      </c>
      <c r="F37" s="13">
        <v>79.83</v>
      </c>
      <c r="G37" s="14">
        <v>113699771</v>
      </c>
    </row>
    <row r="38" spans="1:13">
      <c r="A38" s="62">
        <v>45291</v>
      </c>
      <c r="B38" s="63"/>
      <c r="C38" s="63"/>
      <c r="D38" s="63"/>
      <c r="E38" s="63"/>
      <c r="F38" s="63"/>
      <c r="G38" s="64"/>
      <c r="H38" s="65"/>
      <c r="I38" s="66"/>
      <c r="J38" s="72">
        <f>16621159-J51-J47-J42</f>
        <v>4170623</v>
      </c>
      <c r="K38" s="74">
        <v>352107825</v>
      </c>
      <c r="L38" s="74">
        <f>207981393+13011389</f>
        <v>220992782</v>
      </c>
      <c r="M38" s="57"/>
    </row>
    <row r="39" spans="1:13">
      <c r="A39" s="30">
        <v>45261</v>
      </c>
      <c r="B39" s="13">
        <v>76.5</v>
      </c>
      <c r="C39" s="13">
        <v>88</v>
      </c>
      <c r="D39" s="13">
        <v>74.900000000000006</v>
      </c>
      <c r="E39" s="13">
        <v>86.5</v>
      </c>
      <c r="F39" s="13">
        <v>82.21</v>
      </c>
      <c r="G39" s="14">
        <v>94356136</v>
      </c>
    </row>
    <row r="40" spans="1:13">
      <c r="A40" s="30">
        <v>45231</v>
      </c>
      <c r="B40" s="13">
        <v>67.099999999999994</v>
      </c>
      <c r="C40" s="13">
        <v>76.5</v>
      </c>
      <c r="D40" s="13">
        <v>66.2</v>
      </c>
      <c r="E40" s="13">
        <v>76.400000000000006</v>
      </c>
      <c r="F40" s="13">
        <v>72.61</v>
      </c>
      <c r="G40" s="14">
        <v>95276918</v>
      </c>
    </row>
    <row r="41" spans="1:13">
      <c r="A41" s="30">
        <v>45200</v>
      </c>
      <c r="B41" s="13">
        <v>67.900000000000006</v>
      </c>
      <c r="C41" s="13">
        <v>68.2</v>
      </c>
      <c r="D41" s="13">
        <v>63.1</v>
      </c>
      <c r="E41" s="13">
        <v>67.099999999999994</v>
      </c>
      <c r="F41" s="13">
        <v>63.77</v>
      </c>
      <c r="G41" s="14">
        <v>91869722</v>
      </c>
    </row>
    <row r="42" spans="1:13">
      <c r="A42" s="62">
        <v>45199</v>
      </c>
      <c r="B42" s="63"/>
      <c r="C42" s="63"/>
      <c r="D42" s="63"/>
      <c r="E42" s="63"/>
      <c r="F42" s="63"/>
      <c r="G42" s="64"/>
      <c r="H42" s="65"/>
      <c r="I42" s="66"/>
      <c r="J42" s="72">
        <v>4155300</v>
      </c>
      <c r="K42" s="74">
        <v>365089756</v>
      </c>
      <c r="L42" s="74">
        <f>188609481+12019573</f>
        <v>200629054</v>
      </c>
      <c r="M42" s="81"/>
    </row>
    <row r="43" spans="1:13">
      <c r="A43" s="30">
        <v>45170</v>
      </c>
      <c r="B43" s="13">
        <v>72.3</v>
      </c>
      <c r="C43" s="13">
        <v>72.5</v>
      </c>
      <c r="D43" s="13">
        <v>66.3</v>
      </c>
      <c r="E43" s="13">
        <v>67.900000000000006</v>
      </c>
      <c r="F43" s="13">
        <v>64.53</v>
      </c>
      <c r="G43" s="14">
        <v>66099197</v>
      </c>
    </row>
    <row r="44" spans="1:13" ht="13.5" customHeight="1">
      <c r="A44" s="53">
        <v>45139</v>
      </c>
      <c r="B44" s="17"/>
      <c r="C44" s="17"/>
      <c r="D44" s="17"/>
      <c r="E44" s="17"/>
      <c r="F44" s="17"/>
      <c r="G44" s="18"/>
      <c r="H44" s="19">
        <v>1.1499999999999999</v>
      </c>
    </row>
    <row r="45" spans="1:13">
      <c r="A45" s="30">
        <v>45139</v>
      </c>
      <c r="B45" s="13">
        <v>73.900000000000006</v>
      </c>
      <c r="C45" s="13">
        <v>74</v>
      </c>
      <c r="D45" s="13">
        <v>71</v>
      </c>
      <c r="E45" s="13">
        <v>72.2</v>
      </c>
      <c r="F45" s="13">
        <v>67.56</v>
      </c>
      <c r="G45" s="14">
        <v>74828725</v>
      </c>
    </row>
    <row r="46" spans="1:13">
      <c r="A46" s="30">
        <v>45108</v>
      </c>
      <c r="B46" s="13">
        <v>73</v>
      </c>
      <c r="C46" s="13">
        <v>76.2</v>
      </c>
      <c r="D46" s="13">
        <v>70.2</v>
      </c>
      <c r="E46" s="13">
        <v>74.599999999999994</v>
      </c>
      <c r="F46" s="13">
        <v>69.8</v>
      </c>
      <c r="G46" s="14">
        <v>126582626</v>
      </c>
    </row>
    <row r="47" spans="1:13">
      <c r="A47" s="62">
        <v>45107</v>
      </c>
      <c r="B47" s="63"/>
      <c r="C47" s="63"/>
      <c r="D47" s="63"/>
      <c r="E47" s="63"/>
      <c r="F47" s="63"/>
      <c r="G47" s="64"/>
      <c r="H47" s="65"/>
      <c r="I47" s="66"/>
      <c r="J47" s="72">
        <v>4150062</v>
      </c>
      <c r="K47" s="74">
        <v>367940537</v>
      </c>
      <c r="L47" s="74">
        <f>192992098+9732651</f>
        <v>202724749</v>
      </c>
      <c r="M47" s="81"/>
    </row>
    <row r="48" spans="1:13">
      <c r="A48" s="30">
        <v>45078</v>
      </c>
      <c r="B48" s="13">
        <v>71</v>
      </c>
      <c r="C48" s="13">
        <v>74.400000000000006</v>
      </c>
      <c r="D48" s="13">
        <v>70.900000000000006</v>
      </c>
      <c r="E48" s="13">
        <v>73</v>
      </c>
      <c r="F48" s="13">
        <v>68.31</v>
      </c>
      <c r="G48" s="14">
        <v>14264007</v>
      </c>
    </row>
    <row r="49" spans="1:13">
      <c r="A49" s="30">
        <v>45047</v>
      </c>
      <c r="B49" s="13">
        <v>76.8</v>
      </c>
      <c r="C49" s="13">
        <v>76.8</v>
      </c>
      <c r="D49" s="13">
        <v>70.599999999999994</v>
      </c>
      <c r="E49" s="13">
        <v>70.7</v>
      </c>
      <c r="F49" s="13">
        <v>66.150000000000006</v>
      </c>
      <c r="G49" s="14">
        <v>26927</v>
      </c>
    </row>
    <row r="50" spans="1:13">
      <c r="A50" s="30">
        <v>45017</v>
      </c>
      <c r="B50" s="13">
        <v>73.5</v>
      </c>
      <c r="C50" s="13">
        <v>78.599999999999994</v>
      </c>
      <c r="D50" s="13">
        <v>73.5</v>
      </c>
      <c r="E50" s="13">
        <v>76.8</v>
      </c>
      <c r="F50" s="13">
        <v>71.86</v>
      </c>
      <c r="G50" s="14">
        <v>20662</v>
      </c>
    </row>
    <row r="51" spans="1:13">
      <c r="A51" s="62">
        <v>45016</v>
      </c>
      <c r="B51" s="63"/>
      <c r="C51" s="63"/>
      <c r="D51" s="63"/>
      <c r="E51" s="63"/>
      <c r="F51" s="63"/>
      <c r="G51" s="64"/>
      <c r="H51" s="65"/>
      <c r="I51" s="66"/>
      <c r="J51" s="72">
        <v>4145174</v>
      </c>
      <c r="K51" s="74">
        <v>360780594</v>
      </c>
      <c r="L51" s="74">
        <f>184160396+11255759</f>
        <v>195416155</v>
      </c>
      <c r="M51" s="81"/>
    </row>
    <row r="52" spans="1:13" ht="13.5" customHeight="1">
      <c r="A52" s="53">
        <v>45007</v>
      </c>
      <c r="B52" s="17"/>
      <c r="C52" s="17"/>
      <c r="D52" s="17"/>
      <c r="E52" s="17"/>
      <c r="F52" s="17"/>
      <c r="G52" s="18"/>
      <c r="H52" s="19">
        <v>1.25</v>
      </c>
    </row>
    <row r="53" spans="1:13">
      <c r="A53" s="30">
        <v>44986</v>
      </c>
      <c r="B53" s="13">
        <v>70.599999999999994</v>
      </c>
      <c r="C53" s="13">
        <v>75.400000000000006</v>
      </c>
      <c r="D53" s="13">
        <v>70</v>
      </c>
      <c r="E53" s="13">
        <v>73.5</v>
      </c>
      <c r="F53" s="13">
        <v>67.61</v>
      </c>
      <c r="G53" s="14">
        <v>34040</v>
      </c>
    </row>
    <row r="54" spans="1:13">
      <c r="A54" s="30">
        <v>44958</v>
      </c>
      <c r="B54" s="13">
        <v>82</v>
      </c>
      <c r="C54" s="13">
        <v>82.2</v>
      </c>
      <c r="D54" s="13">
        <v>69</v>
      </c>
      <c r="E54" s="13">
        <v>70.3</v>
      </c>
      <c r="F54" s="13">
        <v>64.67</v>
      </c>
      <c r="G54" s="14">
        <v>77510372</v>
      </c>
    </row>
    <row r="55" spans="1:13">
      <c r="A55" s="30">
        <v>44927</v>
      </c>
      <c r="B55" s="13">
        <v>75.400000000000006</v>
      </c>
      <c r="C55" s="13">
        <v>82.3</v>
      </c>
      <c r="D55" s="13">
        <v>75.099999999999994</v>
      </c>
      <c r="E55" s="13">
        <v>82</v>
      </c>
      <c r="F55" s="13">
        <v>75.430000000000007</v>
      </c>
      <c r="G55" s="14">
        <v>70457541</v>
      </c>
    </row>
    <row r="56" spans="1:13">
      <c r="A56" s="62">
        <v>44926</v>
      </c>
      <c r="B56" s="63"/>
      <c r="C56" s="63"/>
      <c r="D56" s="63"/>
      <c r="E56" s="63"/>
      <c r="F56" s="63"/>
      <c r="G56" s="64"/>
      <c r="H56" s="65"/>
      <c r="I56" s="66"/>
      <c r="J56" s="72">
        <f>17150825-J69-J64-J60</f>
        <v>4603675</v>
      </c>
      <c r="K56" s="74">
        <v>351549468</v>
      </c>
      <c r="L56" s="74">
        <f>202039260+11335960</f>
        <v>213375220</v>
      </c>
      <c r="M56" s="57"/>
    </row>
    <row r="57" spans="1:13">
      <c r="A57" s="30">
        <v>44896</v>
      </c>
      <c r="B57" s="13">
        <v>80.3</v>
      </c>
      <c r="C57" s="13">
        <v>80.400000000000006</v>
      </c>
      <c r="D57" s="13">
        <v>71.8</v>
      </c>
      <c r="E57" s="13">
        <v>75.2</v>
      </c>
      <c r="F57" s="13">
        <v>69.180000000000007</v>
      </c>
      <c r="G57" s="14">
        <v>81262350</v>
      </c>
    </row>
    <row r="58" spans="1:13">
      <c r="A58" s="30">
        <v>44866</v>
      </c>
      <c r="B58" s="13">
        <v>85.4</v>
      </c>
      <c r="C58" s="13">
        <v>86.2</v>
      </c>
      <c r="D58" s="13">
        <v>79.5</v>
      </c>
      <c r="E58" s="13">
        <v>80.3</v>
      </c>
      <c r="F58" s="13">
        <v>73.87</v>
      </c>
      <c r="G58" s="14">
        <v>90019485</v>
      </c>
    </row>
    <row r="59" spans="1:13">
      <c r="A59" s="30">
        <v>44835</v>
      </c>
      <c r="B59" s="13">
        <v>81.3</v>
      </c>
      <c r="C59" s="13">
        <v>88.7</v>
      </c>
      <c r="D59" s="13">
        <v>80.400000000000006</v>
      </c>
      <c r="E59" s="13">
        <v>85.9</v>
      </c>
      <c r="F59" s="13">
        <v>79.02</v>
      </c>
      <c r="G59" s="14">
        <v>78212883</v>
      </c>
    </row>
    <row r="60" spans="1:13">
      <c r="A60" s="62">
        <v>44834</v>
      </c>
      <c r="B60" s="63"/>
      <c r="C60" s="63"/>
      <c r="D60" s="63"/>
      <c r="E60" s="63"/>
      <c r="F60" s="63"/>
      <c r="G60" s="64"/>
      <c r="H60" s="65"/>
      <c r="I60" s="66"/>
      <c r="J60" s="72">
        <v>4155300</v>
      </c>
      <c r="K60" s="74">
        <v>378822738</v>
      </c>
      <c r="L60" s="74">
        <f>165756055+11188275</f>
        <v>176944330</v>
      </c>
      <c r="M60" s="81"/>
    </row>
    <row r="61" spans="1:13">
      <c r="A61" s="30">
        <v>44805</v>
      </c>
      <c r="B61" s="13">
        <v>90.2</v>
      </c>
      <c r="C61" s="13">
        <v>90.5</v>
      </c>
      <c r="D61" s="13">
        <v>78.5</v>
      </c>
      <c r="E61" s="13">
        <v>81.3</v>
      </c>
      <c r="F61" s="13">
        <v>74.790000000000006</v>
      </c>
      <c r="G61" s="14">
        <v>99998945</v>
      </c>
    </row>
    <row r="62" spans="1:13">
      <c r="A62" s="30">
        <v>44774</v>
      </c>
      <c r="B62" s="13">
        <v>89.3</v>
      </c>
      <c r="C62" s="13">
        <v>92.8</v>
      </c>
      <c r="D62" s="13">
        <v>85.4</v>
      </c>
      <c r="E62" s="13">
        <v>90.2</v>
      </c>
      <c r="F62" s="13">
        <v>82.98</v>
      </c>
      <c r="G62" s="14">
        <v>113531941</v>
      </c>
    </row>
    <row r="63" spans="1:13">
      <c r="A63" s="30">
        <v>44743</v>
      </c>
      <c r="B63" s="13">
        <v>83</v>
      </c>
      <c r="C63" s="13">
        <v>90.5</v>
      </c>
      <c r="D63" s="13">
        <v>78.7</v>
      </c>
      <c r="E63" s="13">
        <v>88.9</v>
      </c>
      <c r="F63" s="13">
        <v>81.78</v>
      </c>
      <c r="G63" s="14">
        <v>79915566</v>
      </c>
    </row>
    <row r="64" spans="1:13">
      <c r="A64" s="62">
        <v>44742</v>
      </c>
      <c r="B64" s="63"/>
      <c r="C64" s="63"/>
      <c r="D64" s="63"/>
      <c r="E64" s="63"/>
      <c r="F64" s="63"/>
      <c r="G64" s="64"/>
      <c r="H64" s="65"/>
      <c r="I64" s="66"/>
      <c r="J64" s="72">
        <v>4258304</v>
      </c>
      <c r="K64" s="74">
        <v>388505310</v>
      </c>
      <c r="L64" s="74">
        <f>155750346+8701186</f>
        <v>164451532</v>
      </c>
      <c r="M64" s="81"/>
    </row>
    <row r="65" spans="1:13" ht="13.9" thickBot="1">
      <c r="A65" s="30">
        <v>44713</v>
      </c>
      <c r="B65" s="13">
        <v>99</v>
      </c>
      <c r="C65" s="13">
        <v>99.5</v>
      </c>
      <c r="D65" s="13">
        <v>81.7</v>
      </c>
      <c r="E65" s="13">
        <v>82.5</v>
      </c>
      <c r="F65" s="13">
        <v>75.89</v>
      </c>
      <c r="G65" s="14">
        <v>140195637</v>
      </c>
    </row>
    <row r="66" spans="1:13" ht="13.5" customHeight="1" thickTop="1" thickBot="1">
      <c r="A66" s="54">
        <v>44690</v>
      </c>
      <c r="B66" s="20"/>
      <c r="C66" s="20"/>
      <c r="D66" s="20"/>
      <c r="E66" s="20"/>
      <c r="F66" s="20"/>
      <c r="G66" s="21"/>
      <c r="H66" s="22"/>
      <c r="I66" s="23">
        <v>0.33680555555555558</v>
      </c>
    </row>
    <row r="67" spans="1:13" ht="13.9" thickTop="1">
      <c r="A67" s="30">
        <v>44682</v>
      </c>
      <c r="B67" s="13">
        <v>110.38</v>
      </c>
      <c r="C67" s="13">
        <v>117.4</v>
      </c>
      <c r="D67" s="13">
        <v>90.2</v>
      </c>
      <c r="E67" s="13">
        <v>98.9</v>
      </c>
      <c r="F67" s="13">
        <v>90.98</v>
      </c>
      <c r="G67" s="14">
        <v>181120276</v>
      </c>
    </row>
    <row r="68" spans="1:13">
      <c r="A68" s="30">
        <v>44652</v>
      </c>
      <c r="B68" s="13">
        <v>101.13</v>
      </c>
      <c r="C68" s="13">
        <v>115.88</v>
      </c>
      <c r="D68" s="13">
        <v>100.25</v>
      </c>
      <c r="E68" s="13">
        <v>110.38</v>
      </c>
      <c r="F68" s="13">
        <v>101.54</v>
      </c>
      <c r="G68" s="14">
        <v>137401332</v>
      </c>
    </row>
    <row r="69" spans="1:13">
      <c r="A69" s="62">
        <v>44651</v>
      </c>
      <c r="B69" s="63"/>
      <c r="C69" s="63"/>
      <c r="D69" s="63"/>
      <c r="E69" s="63"/>
      <c r="F69" s="63"/>
      <c r="G69" s="64"/>
      <c r="H69" s="65"/>
      <c r="I69" s="66"/>
      <c r="J69" s="72">
        <v>4133546</v>
      </c>
      <c r="K69" s="74">
        <v>362266074</v>
      </c>
      <c r="L69" s="74">
        <f>136718599+8907383</f>
        <v>145625982</v>
      </c>
      <c r="M69" s="57"/>
    </row>
    <row r="70" spans="1:13">
      <c r="A70" s="30">
        <v>44621</v>
      </c>
      <c r="B70" s="13">
        <v>100.25</v>
      </c>
      <c r="C70" s="13">
        <v>102.38</v>
      </c>
      <c r="D70" s="13">
        <v>93.75</v>
      </c>
      <c r="E70" s="13">
        <v>100.38</v>
      </c>
      <c r="F70" s="13">
        <v>92.34</v>
      </c>
      <c r="G70" s="14">
        <v>152773994</v>
      </c>
    </row>
    <row r="71" spans="1:13">
      <c r="A71" s="30">
        <v>44593</v>
      </c>
      <c r="B71" s="13">
        <v>93.25</v>
      </c>
      <c r="C71" s="13">
        <v>106.13</v>
      </c>
      <c r="D71" s="13">
        <v>91.88</v>
      </c>
      <c r="E71" s="13">
        <v>100.25</v>
      </c>
      <c r="F71" s="13">
        <v>92.22</v>
      </c>
      <c r="G71" s="14">
        <v>163017558</v>
      </c>
    </row>
    <row r="72" spans="1:13">
      <c r="A72" s="30">
        <v>44562</v>
      </c>
      <c r="B72" s="13">
        <v>88.88</v>
      </c>
      <c r="C72" s="13">
        <v>94.88</v>
      </c>
      <c r="D72" s="13">
        <v>88.25</v>
      </c>
      <c r="E72" s="13">
        <v>92.63</v>
      </c>
      <c r="F72" s="13">
        <v>85.21</v>
      </c>
      <c r="G72" s="14">
        <v>107854566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CBF2-B2DB-4545-8E20-78D7981422E0}">
  <dimension ref="A1:M74"/>
  <sheetViews>
    <sheetView rightToLeft="1" workbookViewId="0">
      <pane ySplit="1" topLeftCell="A48" activePane="bottomLeft" state="frozen"/>
      <selection pane="bottomLeft" activeCell="K2" sqref="K2:L74"/>
    </sheetView>
  </sheetViews>
  <sheetFormatPr defaultRowHeight="13.5"/>
  <cols>
    <col min="1" max="1" width="9.6875" style="24" bestFit="1" customWidth="1"/>
    <col min="2" max="4" width="5.1875" style="15" bestFit="1" customWidth="1"/>
    <col min="5" max="5" width="5.375" style="15" bestFit="1" customWidth="1"/>
    <col min="6" max="6" width="8.5" style="15" bestFit="1" customWidth="1"/>
    <col min="7" max="7" width="11.6875" style="25" bestFit="1" customWidth="1"/>
    <col min="8" max="8" width="8.1875" style="15" bestFit="1" customWidth="1"/>
    <col min="9" max="9" width="10.6875" style="16" bestFit="1" customWidth="1"/>
    <col min="10" max="10" width="12.4375" style="56" bestFit="1" customWidth="1"/>
    <col min="11" max="11" width="17.0625" style="56" bestFit="1" customWidth="1"/>
    <col min="12" max="12" width="14.5" style="56" bestFit="1" customWidth="1"/>
    <col min="13" max="13" width="18.4375" style="16" bestFit="1" customWidth="1"/>
    <col min="14" max="16384" width="9" style="16"/>
  </cols>
  <sheetData>
    <row r="1" spans="1:13" s="27" customFormat="1">
      <c r="A1" s="52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8</v>
      </c>
      <c r="I1" s="27" t="s">
        <v>11</v>
      </c>
      <c r="J1" s="55" t="s">
        <v>45</v>
      </c>
      <c r="K1" s="55" t="s">
        <v>17</v>
      </c>
      <c r="L1" s="55" t="s">
        <v>46</v>
      </c>
    </row>
    <row r="2" spans="1:13" customFormat="1">
      <c r="A2" s="79">
        <v>46022</v>
      </c>
      <c r="B2" s="66"/>
      <c r="C2" s="66"/>
      <c r="D2" s="66"/>
      <c r="E2" s="66"/>
      <c r="F2" s="66"/>
      <c r="G2" s="66"/>
      <c r="H2" s="66"/>
      <c r="I2" s="66"/>
      <c r="J2" s="67">
        <f>24991561-J6-J11-J15</f>
        <v>6452168</v>
      </c>
      <c r="K2" s="74">
        <v>463255347</v>
      </c>
      <c r="L2" s="74">
        <f>146157115+26681915</f>
        <v>172839030</v>
      </c>
      <c r="M2" s="80"/>
    </row>
    <row r="3" spans="1:13">
      <c r="A3" s="30">
        <v>45992</v>
      </c>
      <c r="B3" s="13">
        <v>36.74</v>
      </c>
      <c r="C3" s="13">
        <v>38.46</v>
      </c>
      <c r="D3" s="13">
        <v>36</v>
      </c>
      <c r="E3" s="13">
        <v>37.880000000000003</v>
      </c>
      <c r="F3" s="13">
        <v>37.880000000000003</v>
      </c>
      <c r="G3" s="14">
        <v>82471559</v>
      </c>
    </row>
    <row r="4" spans="1:13">
      <c r="A4" s="30">
        <v>45962</v>
      </c>
      <c r="B4" s="13">
        <v>39.299999999999997</v>
      </c>
      <c r="C4" s="13">
        <v>40.340000000000003</v>
      </c>
      <c r="D4" s="13">
        <v>36.26</v>
      </c>
      <c r="E4" s="13">
        <v>36.74</v>
      </c>
      <c r="F4" s="13">
        <v>36.74</v>
      </c>
      <c r="G4" s="14">
        <v>86285982</v>
      </c>
    </row>
    <row r="5" spans="1:13">
      <c r="A5" s="30">
        <v>45931</v>
      </c>
      <c r="B5" s="13">
        <v>38.54</v>
      </c>
      <c r="C5" s="13">
        <v>41</v>
      </c>
      <c r="D5" s="13">
        <v>37.799999999999997</v>
      </c>
      <c r="E5" s="13">
        <v>39.880000000000003</v>
      </c>
      <c r="F5" s="13">
        <v>39.880000000000003</v>
      </c>
      <c r="G5" s="14">
        <v>96985193</v>
      </c>
    </row>
    <row r="6" spans="1:13">
      <c r="A6" s="62">
        <v>45930</v>
      </c>
      <c r="B6" s="63"/>
      <c r="C6" s="63"/>
      <c r="D6" s="63"/>
      <c r="E6" s="63"/>
      <c r="F6" s="63"/>
      <c r="G6" s="64"/>
      <c r="H6" s="65"/>
      <c r="I6" s="66"/>
      <c r="J6" s="67">
        <v>6427960</v>
      </c>
      <c r="K6" s="74">
        <v>486448862</v>
      </c>
      <c r="L6" s="74">
        <f>122857648+30181467</f>
        <v>153039115</v>
      </c>
      <c r="M6" s="81"/>
    </row>
    <row r="7" spans="1:13">
      <c r="A7" s="30">
        <v>45901</v>
      </c>
      <c r="B7" s="13">
        <v>35.06</v>
      </c>
      <c r="C7" s="13">
        <v>39.54</v>
      </c>
      <c r="D7" s="13">
        <v>33.299999999999997</v>
      </c>
      <c r="E7" s="13">
        <v>39.18</v>
      </c>
      <c r="F7" s="13">
        <v>39.18</v>
      </c>
      <c r="G7" s="14">
        <v>90943855</v>
      </c>
    </row>
    <row r="8" spans="1:13">
      <c r="A8" s="53">
        <v>45873</v>
      </c>
      <c r="B8" s="17"/>
      <c r="C8" s="17"/>
      <c r="D8" s="17"/>
      <c r="E8" s="17"/>
      <c r="F8" s="17"/>
      <c r="G8" s="18"/>
      <c r="H8" s="19">
        <v>1</v>
      </c>
    </row>
    <row r="9" spans="1:13">
      <c r="A9" s="30">
        <v>45870</v>
      </c>
      <c r="B9" s="13">
        <v>37.4</v>
      </c>
      <c r="C9" s="13">
        <v>37.4</v>
      </c>
      <c r="D9" s="13">
        <v>34.82</v>
      </c>
      <c r="E9" s="13">
        <v>35</v>
      </c>
      <c r="F9" s="13">
        <v>34.06</v>
      </c>
      <c r="G9" s="14">
        <v>56806208</v>
      </c>
    </row>
    <row r="10" spans="1:13">
      <c r="A10" s="30">
        <v>45839</v>
      </c>
      <c r="B10" s="13">
        <v>36.1</v>
      </c>
      <c r="C10" s="13">
        <v>37.72</v>
      </c>
      <c r="D10" s="13">
        <v>35.5</v>
      </c>
      <c r="E10" s="13">
        <v>37.5</v>
      </c>
      <c r="F10" s="13">
        <v>36.49</v>
      </c>
      <c r="G10" s="14">
        <v>84992680</v>
      </c>
    </row>
    <row r="11" spans="1:13">
      <c r="A11" s="62">
        <v>45838</v>
      </c>
      <c r="B11" s="63"/>
      <c r="C11" s="63"/>
      <c r="D11" s="63"/>
      <c r="E11" s="63"/>
      <c r="F11" s="63"/>
      <c r="G11" s="64"/>
      <c r="H11" s="65"/>
      <c r="I11" s="66"/>
      <c r="J11" s="67">
        <v>6127066</v>
      </c>
      <c r="K11" s="74">
        <v>498978328</v>
      </c>
      <c r="L11" s="74">
        <f>133334715+26362369</f>
        <v>159697084</v>
      </c>
      <c r="M11" s="81"/>
    </row>
    <row r="12" spans="1:13">
      <c r="A12" s="30">
        <v>45809</v>
      </c>
      <c r="B12" s="13">
        <v>34.700000000000003</v>
      </c>
      <c r="C12" s="13">
        <v>36.5</v>
      </c>
      <c r="D12" s="13">
        <v>33.549999999999997</v>
      </c>
      <c r="E12" s="13">
        <v>36.119999999999997</v>
      </c>
      <c r="F12" s="13">
        <v>35.15</v>
      </c>
      <c r="G12" s="14">
        <v>103759440</v>
      </c>
    </row>
    <row r="13" spans="1:13">
      <c r="A13" s="30">
        <v>45778</v>
      </c>
      <c r="B13" s="13">
        <v>35.549999999999997</v>
      </c>
      <c r="C13" s="13">
        <v>35.950000000000003</v>
      </c>
      <c r="D13" s="13">
        <v>34.15</v>
      </c>
      <c r="E13" s="13">
        <v>34.700000000000003</v>
      </c>
      <c r="F13" s="13">
        <v>33.770000000000003</v>
      </c>
      <c r="G13" s="14">
        <v>86328534</v>
      </c>
    </row>
    <row r="14" spans="1:13">
      <c r="A14" s="30">
        <v>45748</v>
      </c>
      <c r="B14" s="13">
        <v>35.85</v>
      </c>
      <c r="C14" s="13">
        <v>36</v>
      </c>
      <c r="D14" s="13">
        <v>31.55</v>
      </c>
      <c r="E14" s="13">
        <v>35.700000000000003</v>
      </c>
      <c r="F14" s="13">
        <v>34.74</v>
      </c>
      <c r="G14" s="14">
        <v>118956228</v>
      </c>
    </row>
    <row r="15" spans="1:13">
      <c r="A15" s="62">
        <v>45747</v>
      </c>
      <c r="B15" s="63"/>
      <c r="C15" s="63"/>
      <c r="D15" s="63"/>
      <c r="E15" s="63"/>
      <c r="F15" s="63"/>
      <c r="G15" s="64"/>
      <c r="H15" s="65"/>
      <c r="I15" s="66"/>
      <c r="J15" s="67">
        <v>5984367</v>
      </c>
      <c r="K15" s="74">
        <v>465782952</v>
      </c>
      <c r="L15" s="74">
        <f>133513887+27097531</f>
        <v>160611418</v>
      </c>
      <c r="M15" s="81"/>
    </row>
    <row r="16" spans="1:13">
      <c r="A16" s="30">
        <v>45717</v>
      </c>
      <c r="B16" s="13">
        <v>35</v>
      </c>
      <c r="C16" s="13">
        <v>36.6</v>
      </c>
      <c r="D16" s="13">
        <v>34.200000000000003</v>
      </c>
      <c r="E16" s="13">
        <v>35.85</v>
      </c>
      <c r="F16" s="13">
        <v>34.89</v>
      </c>
      <c r="G16" s="14">
        <v>97672749</v>
      </c>
    </row>
    <row r="17" spans="1:13">
      <c r="A17" s="58">
        <v>45698</v>
      </c>
      <c r="B17" s="59"/>
      <c r="C17" s="59"/>
      <c r="D17" s="59"/>
      <c r="E17" s="59"/>
      <c r="F17" s="59"/>
      <c r="G17" s="60"/>
      <c r="H17" s="61">
        <v>1</v>
      </c>
    </row>
    <row r="18" spans="1:13">
      <c r="A18" s="30">
        <v>45689</v>
      </c>
      <c r="B18" s="13">
        <v>34.4</v>
      </c>
      <c r="C18" s="13">
        <v>36.6</v>
      </c>
      <c r="D18" s="13">
        <v>33.200000000000003</v>
      </c>
      <c r="E18" s="13">
        <v>35</v>
      </c>
      <c r="F18" s="13">
        <v>33.08</v>
      </c>
      <c r="G18" s="14">
        <v>116950927</v>
      </c>
    </row>
    <row r="19" spans="1:13">
      <c r="A19" s="30">
        <v>45658</v>
      </c>
      <c r="B19" s="13">
        <v>33.4</v>
      </c>
      <c r="C19" s="13">
        <v>35.6</v>
      </c>
      <c r="D19" s="13">
        <v>33</v>
      </c>
      <c r="E19" s="13">
        <v>34.200000000000003</v>
      </c>
      <c r="F19" s="13">
        <v>32.32</v>
      </c>
      <c r="G19" s="14">
        <v>86358215</v>
      </c>
    </row>
    <row r="20" spans="1:13">
      <c r="A20" s="62">
        <v>45657</v>
      </c>
      <c r="B20" s="63"/>
      <c r="C20" s="63"/>
      <c r="D20" s="63"/>
      <c r="E20" s="63"/>
      <c r="F20" s="63"/>
      <c r="G20" s="64"/>
      <c r="H20" s="65"/>
      <c r="I20" s="66"/>
      <c r="J20" s="74">
        <f>21093646-J24-J29-J34</f>
        <v>5520069</v>
      </c>
      <c r="K20" s="74">
        <v>418200767</v>
      </c>
      <c r="L20" s="74">
        <f>130092840+31468500</f>
        <v>161561340</v>
      </c>
      <c r="M20" s="57"/>
    </row>
    <row r="21" spans="1:13">
      <c r="A21" s="30">
        <v>45627</v>
      </c>
      <c r="B21" s="13">
        <v>32.049999999999997</v>
      </c>
      <c r="C21" s="13">
        <v>34.65</v>
      </c>
      <c r="D21" s="13">
        <v>31.95</v>
      </c>
      <c r="E21" s="13">
        <v>33.4</v>
      </c>
      <c r="F21" s="13">
        <v>31.57</v>
      </c>
      <c r="G21" s="14">
        <v>86587262</v>
      </c>
    </row>
    <row r="22" spans="1:13">
      <c r="A22" s="30">
        <v>45597</v>
      </c>
      <c r="B22" s="13">
        <v>33.299999999999997</v>
      </c>
      <c r="C22" s="13">
        <v>34.1</v>
      </c>
      <c r="D22" s="13">
        <v>31.9</v>
      </c>
      <c r="E22" s="13">
        <v>32.450000000000003</v>
      </c>
      <c r="F22" s="13">
        <v>30.67</v>
      </c>
      <c r="G22" s="14">
        <v>123833319</v>
      </c>
    </row>
    <row r="23" spans="1:13">
      <c r="A23" s="30">
        <v>45566</v>
      </c>
      <c r="B23" s="13">
        <v>34.4</v>
      </c>
      <c r="C23" s="13">
        <v>35.35</v>
      </c>
      <c r="D23" s="13">
        <v>33</v>
      </c>
      <c r="E23" s="13">
        <v>33.15</v>
      </c>
      <c r="F23" s="13">
        <v>31.33</v>
      </c>
      <c r="G23" s="14">
        <v>90789895</v>
      </c>
    </row>
    <row r="24" spans="1:13">
      <c r="A24" s="62">
        <v>45565</v>
      </c>
      <c r="B24" s="63"/>
      <c r="C24" s="63"/>
      <c r="D24" s="63"/>
      <c r="E24" s="63"/>
      <c r="F24" s="63"/>
      <c r="G24" s="64"/>
      <c r="H24" s="65"/>
      <c r="I24" s="66"/>
      <c r="J24" s="74">
        <v>5349903</v>
      </c>
      <c r="K24" s="74">
        <v>448051498</v>
      </c>
      <c r="L24" s="74">
        <f>154042028+32101102</f>
        <v>186143130</v>
      </c>
      <c r="M24" s="81"/>
    </row>
    <row r="25" spans="1:13">
      <c r="A25" s="30">
        <v>45536</v>
      </c>
      <c r="B25" s="13">
        <v>35.200000000000003</v>
      </c>
      <c r="C25" s="13">
        <v>36.049999999999997</v>
      </c>
      <c r="D25" s="13">
        <v>33.85</v>
      </c>
      <c r="E25" s="13">
        <v>34.299999999999997</v>
      </c>
      <c r="F25" s="13">
        <v>32.42</v>
      </c>
      <c r="G25" s="14">
        <v>118282861</v>
      </c>
    </row>
    <row r="26" spans="1:13" ht="13.5" customHeight="1">
      <c r="A26" s="53">
        <v>45516</v>
      </c>
      <c r="B26" s="17"/>
      <c r="C26" s="17"/>
      <c r="D26" s="17"/>
      <c r="E26" s="17"/>
      <c r="F26" s="17"/>
      <c r="G26" s="18"/>
      <c r="H26" s="19">
        <v>0.9</v>
      </c>
    </row>
    <row r="27" spans="1:13">
      <c r="A27" s="30">
        <v>45505</v>
      </c>
      <c r="B27" s="13">
        <v>38</v>
      </c>
      <c r="C27" s="13">
        <v>38.299999999999997</v>
      </c>
      <c r="D27" s="13">
        <v>34.25</v>
      </c>
      <c r="E27" s="13">
        <v>35</v>
      </c>
      <c r="F27" s="13">
        <v>32.24</v>
      </c>
      <c r="G27" s="14">
        <v>116780170</v>
      </c>
    </row>
    <row r="28" spans="1:13">
      <c r="A28" s="30">
        <v>45474</v>
      </c>
      <c r="B28" s="13">
        <v>36.200000000000003</v>
      </c>
      <c r="C28" s="13">
        <v>38.450000000000003</v>
      </c>
      <c r="D28" s="13">
        <v>34.799999999999997</v>
      </c>
      <c r="E28" s="13">
        <v>38</v>
      </c>
      <c r="F28" s="13">
        <v>35</v>
      </c>
      <c r="G28" s="14">
        <v>102742088</v>
      </c>
    </row>
    <row r="29" spans="1:13">
      <c r="A29" s="62">
        <v>45473</v>
      </c>
      <c r="B29" s="63"/>
      <c r="C29" s="63"/>
      <c r="D29" s="63"/>
      <c r="E29" s="63"/>
      <c r="F29" s="63"/>
      <c r="G29" s="64"/>
      <c r="H29" s="65"/>
      <c r="I29" s="66"/>
      <c r="J29" s="74">
        <v>5167938</v>
      </c>
      <c r="K29" s="74">
        <v>468522222</v>
      </c>
      <c r="L29" s="74">
        <f>131780644+32389899</f>
        <v>164170543</v>
      </c>
      <c r="M29" s="81"/>
    </row>
    <row r="30" spans="1:13">
      <c r="A30" s="30">
        <v>45444</v>
      </c>
      <c r="B30" s="13">
        <v>34.9</v>
      </c>
      <c r="C30" s="13">
        <v>37.25</v>
      </c>
      <c r="D30" s="13">
        <v>34.299999999999997</v>
      </c>
      <c r="E30" s="13">
        <v>36.700000000000003</v>
      </c>
      <c r="F30" s="13">
        <v>33.799999999999997</v>
      </c>
      <c r="G30" s="14">
        <v>110010409</v>
      </c>
    </row>
    <row r="31" spans="1:13" ht="13.5" customHeight="1">
      <c r="A31" s="53">
        <v>45414</v>
      </c>
      <c r="B31" s="17" t="s">
        <v>9</v>
      </c>
      <c r="C31" s="17"/>
      <c r="D31" s="17"/>
      <c r="E31" s="17"/>
      <c r="F31" s="17"/>
      <c r="G31" s="18"/>
      <c r="H31" s="19">
        <v>0.9</v>
      </c>
    </row>
    <row r="32" spans="1:13">
      <c r="A32" s="30">
        <v>45413</v>
      </c>
      <c r="B32" s="13">
        <v>37.6</v>
      </c>
      <c r="C32" s="13">
        <v>37.799999999999997</v>
      </c>
      <c r="D32" s="13">
        <v>32.9</v>
      </c>
      <c r="E32" s="13">
        <v>34.9</v>
      </c>
      <c r="F32" s="13">
        <v>31.37</v>
      </c>
      <c r="G32" s="14">
        <v>104943214</v>
      </c>
    </row>
    <row r="33" spans="1:13">
      <c r="A33" s="30">
        <v>45383</v>
      </c>
      <c r="B33" s="13">
        <v>40.1</v>
      </c>
      <c r="C33" s="13">
        <v>41.45</v>
      </c>
      <c r="D33" s="13">
        <v>36.9</v>
      </c>
      <c r="E33" s="13">
        <v>37.6</v>
      </c>
      <c r="F33" s="13">
        <v>33.799999999999997</v>
      </c>
      <c r="G33" s="14">
        <v>66654842</v>
      </c>
    </row>
    <row r="34" spans="1:13">
      <c r="A34" s="62">
        <v>45382</v>
      </c>
      <c r="B34" s="63"/>
      <c r="C34" s="63"/>
      <c r="D34" s="63"/>
      <c r="E34" s="63"/>
      <c r="F34" s="63"/>
      <c r="G34" s="64"/>
      <c r="H34" s="65"/>
      <c r="I34" s="66"/>
      <c r="J34" s="74">
        <v>5055736</v>
      </c>
      <c r="K34" s="74">
        <v>500886049</v>
      </c>
      <c r="L34" s="74">
        <f>129511012+25863832</f>
        <v>155374844</v>
      </c>
      <c r="M34" s="81"/>
    </row>
    <row r="35" spans="1:13">
      <c r="A35" s="30">
        <v>45352</v>
      </c>
      <c r="B35" s="13">
        <v>42.2</v>
      </c>
      <c r="C35" s="13">
        <v>42.45</v>
      </c>
      <c r="D35" s="13">
        <v>38.5</v>
      </c>
      <c r="E35" s="13">
        <v>40.200000000000003</v>
      </c>
      <c r="F35" s="13">
        <v>36.130000000000003</v>
      </c>
      <c r="G35" s="14">
        <v>91448024</v>
      </c>
    </row>
    <row r="36" spans="1:13">
      <c r="A36" s="30">
        <v>45323</v>
      </c>
      <c r="B36" s="13">
        <v>40.6</v>
      </c>
      <c r="C36" s="13">
        <v>43.35</v>
      </c>
      <c r="D36" s="13">
        <v>39.299999999999997</v>
      </c>
      <c r="E36" s="13">
        <v>42.35</v>
      </c>
      <c r="F36" s="13">
        <v>38.07</v>
      </c>
      <c r="G36" s="14">
        <v>86931274</v>
      </c>
    </row>
    <row r="37" spans="1:13">
      <c r="A37" s="30">
        <v>45292</v>
      </c>
      <c r="B37" s="13">
        <v>38.65</v>
      </c>
      <c r="C37" s="13">
        <v>44.35</v>
      </c>
      <c r="D37" s="13">
        <v>38.65</v>
      </c>
      <c r="E37" s="13">
        <v>40.6</v>
      </c>
      <c r="F37" s="13">
        <v>36.49</v>
      </c>
      <c r="G37" s="14">
        <v>137261426</v>
      </c>
    </row>
    <row r="38" spans="1:13">
      <c r="A38" s="62">
        <v>45291</v>
      </c>
      <c r="B38" s="63"/>
      <c r="C38" s="63"/>
      <c r="D38" s="63"/>
      <c r="E38" s="63"/>
      <c r="F38" s="63"/>
      <c r="G38" s="64"/>
      <c r="H38" s="65"/>
      <c r="I38" s="66"/>
      <c r="J38" s="74">
        <f>20108827-J42-J47-J53</f>
        <v>4934508</v>
      </c>
      <c r="K38" s="74">
        <v>447507213</v>
      </c>
      <c r="L38" s="74">
        <f>120018607+22525242</f>
        <v>142543849</v>
      </c>
      <c r="M38" s="57"/>
    </row>
    <row r="39" spans="1:13">
      <c r="A39" s="30">
        <v>45261</v>
      </c>
      <c r="B39" s="13">
        <v>34.9</v>
      </c>
      <c r="C39" s="13">
        <v>39.35</v>
      </c>
      <c r="D39" s="13">
        <v>34.049999999999997</v>
      </c>
      <c r="E39" s="13">
        <v>38.65</v>
      </c>
      <c r="F39" s="13">
        <v>34.74</v>
      </c>
      <c r="G39" s="14">
        <v>91378256</v>
      </c>
    </row>
    <row r="40" spans="1:13">
      <c r="A40" s="30">
        <v>45231</v>
      </c>
      <c r="B40" s="13">
        <v>33.75</v>
      </c>
      <c r="C40" s="13">
        <v>36.5</v>
      </c>
      <c r="D40" s="13">
        <v>33.35</v>
      </c>
      <c r="E40" s="13">
        <v>34.950000000000003</v>
      </c>
      <c r="F40" s="13">
        <v>31.41</v>
      </c>
      <c r="G40" s="14">
        <v>132810056</v>
      </c>
    </row>
    <row r="41" spans="1:13">
      <c r="A41" s="30">
        <v>45200</v>
      </c>
      <c r="B41" s="13">
        <v>32.799999999999997</v>
      </c>
      <c r="C41" s="13">
        <v>34.1</v>
      </c>
      <c r="D41" s="13">
        <v>30.9</v>
      </c>
      <c r="E41" s="13">
        <v>33.549999999999997</v>
      </c>
      <c r="F41" s="13">
        <v>30.16</v>
      </c>
      <c r="G41" s="14">
        <v>143169329</v>
      </c>
    </row>
    <row r="42" spans="1:13">
      <c r="A42" s="62">
        <v>45199</v>
      </c>
      <c r="B42" s="63"/>
      <c r="C42" s="63"/>
      <c r="D42" s="63"/>
      <c r="E42" s="63"/>
      <c r="F42" s="63"/>
      <c r="G42" s="64"/>
      <c r="H42" s="65"/>
      <c r="I42" s="66"/>
      <c r="J42" s="74">
        <v>4956634</v>
      </c>
      <c r="K42" s="74">
        <v>455081883</v>
      </c>
      <c r="L42" s="74">
        <f>145785948+23900730</f>
        <v>169686678</v>
      </c>
      <c r="M42" s="81"/>
    </row>
    <row r="43" spans="1:13">
      <c r="A43" s="30">
        <v>45170</v>
      </c>
      <c r="B43" s="13">
        <v>35.9</v>
      </c>
      <c r="C43" s="13">
        <v>36.200000000000003</v>
      </c>
      <c r="D43" s="13">
        <v>32.6</v>
      </c>
      <c r="E43" s="13">
        <v>32.799999999999997</v>
      </c>
      <c r="F43" s="13">
        <v>29.48</v>
      </c>
      <c r="G43" s="14">
        <v>100106800</v>
      </c>
    </row>
    <row r="44" spans="1:13" ht="13.5" customHeight="1">
      <c r="A44" s="53">
        <v>45140</v>
      </c>
      <c r="B44" s="17"/>
      <c r="C44" s="17"/>
      <c r="D44" s="17"/>
      <c r="E44" s="17"/>
      <c r="F44" s="17"/>
      <c r="G44" s="18"/>
      <c r="H44" s="19">
        <v>0.85</v>
      </c>
    </row>
    <row r="45" spans="1:13">
      <c r="A45" s="30">
        <v>45139</v>
      </c>
      <c r="B45" s="13">
        <v>38.700000000000003</v>
      </c>
      <c r="C45" s="13">
        <v>39.049999999999997</v>
      </c>
      <c r="D45" s="13">
        <v>34.950000000000003</v>
      </c>
      <c r="E45" s="13">
        <v>35.75</v>
      </c>
      <c r="F45" s="13">
        <v>31.43</v>
      </c>
      <c r="G45" s="14">
        <v>134048308</v>
      </c>
    </row>
    <row r="46" spans="1:13">
      <c r="A46" s="30">
        <v>45108</v>
      </c>
      <c r="B46" s="13">
        <v>37.25</v>
      </c>
      <c r="C46" s="13">
        <v>40.9</v>
      </c>
      <c r="D46" s="13">
        <v>36.5</v>
      </c>
      <c r="E46" s="13">
        <v>38.549999999999997</v>
      </c>
      <c r="F46" s="13">
        <v>33.89</v>
      </c>
      <c r="G46" s="14">
        <v>120384537</v>
      </c>
    </row>
    <row r="47" spans="1:13">
      <c r="A47" s="62">
        <v>45107</v>
      </c>
      <c r="B47" s="63"/>
      <c r="C47" s="63"/>
      <c r="D47" s="63"/>
      <c r="E47" s="63"/>
      <c r="F47" s="63"/>
      <c r="G47" s="64"/>
      <c r="H47" s="65"/>
      <c r="I47" s="66"/>
      <c r="J47" s="74">
        <v>5116860</v>
      </c>
      <c r="K47" s="74">
        <v>446456756</v>
      </c>
      <c r="L47" s="74">
        <f>134118291+21634152</f>
        <v>155752443</v>
      </c>
      <c r="M47" s="81"/>
    </row>
    <row r="48" spans="1:13">
      <c r="A48" s="30">
        <v>45078</v>
      </c>
      <c r="B48" s="13">
        <v>36.799999999999997</v>
      </c>
      <c r="C48" s="13">
        <v>38.200000000000003</v>
      </c>
      <c r="D48" s="13">
        <v>36.450000000000003</v>
      </c>
      <c r="E48" s="13">
        <v>36.799999999999997</v>
      </c>
      <c r="F48" s="13">
        <v>32.35</v>
      </c>
      <c r="G48" s="14">
        <v>14351514</v>
      </c>
    </row>
    <row r="49" spans="1:13" ht="13.5" customHeight="1">
      <c r="A49" s="53">
        <v>45054</v>
      </c>
      <c r="B49" s="17"/>
      <c r="C49" s="17"/>
      <c r="D49" s="17"/>
      <c r="E49" s="17"/>
      <c r="F49" s="17"/>
      <c r="G49" s="18"/>
      <c r="H49" s="19">
        <v>0.6</v>
      </c>
    </row>
    <row r="50" spans="1:13" ht="13.9" thickBot="1">
      <c r="A50" s="30">
        <v>45047</v>
      </c>
      <c r="B50" s="13">
        <v>36.67</v>
      </c>
      <c r="C50" s="13">
        <v>38.4</v>
      </c>
      <c r="D50" s="13">
        <v>35.6</v>
      </c>
      <c r="E50" s="13">
        <v>36.9</v>
      </c>
      <c r="F50" s="13">
        <v>31.92</v>
      </c>
      <c r="G50" s="14">
        <v>116586</v>
      </c>
    </row>
    <row r="51" spans="1:13" ht="13.5" customHeight="1" thickTop="1" thickBot="1">
      <c r="A51" s="54">
        <v>45054</v>
      </c>
      <c r="B51" s="20"/>
      <c r="C51" s="20"/>
      <c r="D51" s="20"/>
      <c r="E51" s="20"/>
      <c r="F51" s="20"/>
      <c r="G51" s="21"/>
      <c r="H51" s="22"/>
      <c r="I51" s="23">
        <v>0.16875000000000001</v>
      </c>
    </row>
    <row r="52" spans="1:13" ht="13.9" thickTop="1">
      <c r="A52" s="30">
        <v>45017</v>
      </c>
      <c r="B52" s="13">
        <v>34.39</v>
      </c>
      <c r="C52" s="13">
        <v>38.03</v>
      </c>
      <c r="D52" s="13">
        <v>34.39</v>
      </c>
      <c r="E52" s="13">
        <v>36.67</v>
      </c>
      <c r="F52" s="13">
        <v>31.72</v>
      </c>
      <c r="G52" s="14">
        <v>49375</v>
      </c>
    </row>
    <row r="53" spans="1:13">
      <c r="A53" s="62">
        <v>45016</v>
      </c>
      <c r="B53" s="63"/>
      <c r="C53" s="63"/>
      <c r="D53" s="63"/>
      <c r="E53" s="63"/>
      <c r="F53" s="63"/>
      <c r="G53" s="64"/>
      <c r="H53" s="65"/>
      <c r="I53" s="66"/>
      <c r="J53" s="74">
        <v>5100825</v>
      </c>
      <c r="K53" s="74">
        <v>469162286</v>
      </c>
      <c r="L53" s="74">
        <f>120036762+21591966</f>
        <v>141628728</v>
      </c>
      <c r="M53" s="81"/>
    </row>
    <row r="54" spans="1:13">
      <c r="A54" s="30">
        <v>44986</v>
      </c>
      <c r="B54" s="13">
        <v>35.659999999999997</v>
      </c>
      <c r="C54" s="13">
        <v>35.85</v>
      </c>
      <c r="D54" s="13">
        <v>29.81</v>
      </c>
      <c r="E54" s="13">
        <v>34.39</v>
      </c>
      <c r="F54" s="13">
        <v>29.74</v>
      </c>
      <c r="G54" s="14">
        <v>35089</v>
      </c>
    </row>
    <row r="55" spans="1:13">
      <c r="A55" s="30">
        <v>44958</v>
      </c>
      <c r="B55" s="13">
        <v>36</v>
      </c>
      <c r="C55" s="13">
        <v>37.42</v>
      </c>
      <c r="D55" s="13">
        <v>35.1</v>
      </c>
      <c r="E55" s="13">
        <v>35.44</v>
      </c>
      <c r="F55" s="13">
        <v>30.65</v>
      </c>
      <c r="G55" s="14">
        <v>78047876</v>
      </c>
    </row>
    <row r="56" spans="1:13">
      <c r="A56" s="30">
        <v>44927</v>
      </c>
      <c r="B56" s="13">
        <v>38.03</v>
      </c>
      <c r="C56" s="13">
        <v>38.630000000000003</v>
      </c>
      <c r="D56" s="13">
        <v>34.840000000000003</v>
      </c>
      <c r="E56" s="13">
        <v>35.47</v>
      </c>
      <c r="F56" s="13">
        <v>30.69</v>
      </c>
      <c r="G56" s="14">
        <v>98065403</v>
      </c>
    </row>
    <row r="57" spans="1:13">
      <c r="A57" s="79">
        <v>44926</v>
      </c>
      <c r="B57" s="63"/>
      <c r="C57" s="63"/>
      <c r="D57" s="63"/>
      <c r="E57" s="63"/>
      <c r="F57" s="63"/>
      <c r="G57" s="64"/>
      <c r="H57" s="65"/>
      <c r="I57" s="66"/>
      <c r="J57" s="74">
        <f>18728837-J61-J66-J71</f>
        <v>4791160</v>
      </c>
      <c r="K57" s="74">
        <v>427245252</v>
      </c>
      <c r="L57" s="74">
        <f>116646379+24391445</f>
        <v>141037824</v>
      </c>
      <c r="M57" s="57"/>
    </row>
    <row r="58" spans="1:13">
      <c r="A58" s="30">
        <v>44896</v>
      </c>
      <c r="B58" s="13">
        <v>38.4</v>
      </c>
      <c r="C58" s="13">
        <v>38.630000000000003</v>
      </c>
      <c r="D58" s="13">
        <v>34.31</v>
      </c>
      <c r="E58" s="13">
        <v>37.880000000000003</v>
      </c>
      <c r="F58" s="13">
        <v>32.76</v>
      </c>
      <c r="G58" s="14">
        <v>93458129</v>
      </c>
    </row>
    <row r="59" spans="1:13">
      <c r="A59" s="30">
        <v>44866</v>
      </c>
      <c r="B59" s="13">
        <v>44.85</v>
      </c>
      <c r="C59" s="13">
        <v>45</v>
      </c>
      <c r="D59" s="13">
        <v>38.03</v>
      </c>
      <c r="E59" s="13">
        <v>38.4</v>
      </c>
      <c r="F59" s="13">
        <v>33.22</v>
      </c>
      <c r="G59" s="14">
        <v>138013490</v>
      </c>
    </row>
    <row r="60" spans="1:13">
      <c r="A60" s="30">
        <v>44835</v>
      </c>
      <c r="B60" s="13">
        <v>47.33</v>
      </c>
      <c r="C60" s="13">
        <v>49.95</v>
      </c>
      <c r="D60" s="13">
        <v>43.13</v>
      </c>
      <c r="E60" s="13">
        <v>43.35</v>
      </c>
      <c r="F60" s="13">
        <v>37.5</v>
      </c>
      <c r="G60" s="14">
        <v>114837044</v>
      </c>
    </row>
    <row r="61" spans="1:13">
      <c r="A61" s="62">
        <v>44834</v>
      </c>
      <c r="B61" s="63"/>
      <c r="C61" s="63"/>
      <c r="D61" s="63"/>
      <c r="E61" s="63"/>
      <c r="F61" s="63"/>
      <c r="G61" s="64"/>
      <c r="H61" s="65"/>
      <c r="I61" s="66"/>
      <c r="J61" s="74">
        <v>4760956</v>
      </c>
      <c r="K61" s="74">
        <v>437045308</v>
      </c>
      <c r="L61" s="74">
        <f>137091014+22750122</f>
        <v>159841136</v>
      </c>
      <c r="M61" s="81"/>
    </row>
    <row r="62" spans="1:13">
      <c r="A62" s="30">
        <v>44805</v>
      </c>
      <c r="B62" s="13">
        <v>52.05</v>
      </c>
      <c r="C62" s="13">
        <v>52.2</v>
      </c>
      <c r="D62" s="13">
        <v>45.75</v>
      </c>
      <c r="E62" s="13">
        <v>47.33</v>
      </c>
      <c r="F62" s="13">
        <v>40.94</v>
      </c>
      <c r="G62" s="14">
        <v>82496235</v>
      </c>
    </row>
    <row r="63" spans="1:13">
      <c r="A63" s="30">
        <v>44774</v>
      </c>
      <c r="B63" s="13">
        <v>53.03</v>
      </c>
      <c r="C63" s="13">
        <v>55.95</v>
      </c>
      <c r="D63" s="13">
        <v>51.83</v>
      </c>
      <c r="E63" s="13">
        <v>52.42</v>
      </c>
      <c r="F63" s="13">
        <v>45.35</v>
      </c>
      <c r="G63" s="14">
        <v>56938506</v>
      </c>
    </row>
    <row r="64" spans="1:13" ht="13.5" customHeight="1">
      <c r="A64" s="53">
        <v>44756</v>
      </c>
      <c r="B64" s="17"/>
      <c r="C64" s="17"/>
      <c r="D64" s="17"/>
      <c r="E64" s="17"/>
      <c r="F64" s="17"/>
      <c r="G64" s="18"/>
      <c r="H64" s="19">
        <v>0.82499999999999996</v>
      </c>
    </row>
    <row r="65" spans="1:13">
      <c r="A65" s="30">
        <v>44743</v>
      </c>
      <c r="B65" s="13">
        <v>50.85</v>
      </c>
      <c r="C65" s="13">
        <v>53.25</v>
      </c>
      <c r="D65" s="13">
        <v>48.97</v>
      </c>
      <c r="E65" s="13">
        <v>52.28</v>
      </c>
      <c r="F65" s="13">
        <v>44.48</v>
      </c>
      <c r="G65" s="14">
        <v>51028572</v>
      </c>
    </row>
    <row r="66" spans="1:13">
      <c r="A66" s="62">
        <v>44742</v>
      </c>
      <c r="B66" s="63"/>
      <c r="C66" s="63"/>
      <c r="D66" s="63"/>
      <c r="E66" s="63"/>
      <c r="F66" s="63"/>
      <c r="G66" s="64"/>
      <c r="H66" s="65"/>
      <c r="I66" s="66"/>
      <c r="J66" s="74">
        <v>4610915</v>
      </c>
      <c r="K66" s="74">
        <v>464741572</v>
      </c>
      <c r="L66" s="74">
        <f>104212295+24057562</f>
        <v>128269857</v>
      </c>
      <c r="M66" s="81"/>
    </row>
    <row r="67" spans="1:13">
      <c r="A67" s="30">
        <v>44713</v>
      </c>
      <c r="B67" s="13">
        <v>54</v>
      </c>
      <c r="C67" s="13">
        <v>54.97</v>
      </c>
      <c r="D67" s="13">
        <v>46.88</v>
      </c>
      <c r="E67" s="13">
        <v>49.42</v>
      </c>
      <c r="F67" s="13">
        <v>42.05</v>
      </c>
      <c r="G67" s="14">
        <v>93323068</v>
      </c>
    </row>
    <row r="68" spans="1:13">
      <c r="A68" s="30">
        <v>44682</v>
      </c>
      <c r="B68" s="13">
        <v>59.25</v>
      </c>
      <c r="C68" s="13">
        <v>61.5</v>
      </c>
      <c r="D68" s="13">
        <v>50.17</v>
      </c>
      <c r="E68" s="13">
        <v>54.3</v>
      </c>
      <c r="F68" s="13">
        <v>46.2</v>
      </c>
      <c r="G68" s="14">
        <v>136047845</v>
      </c>
    </row>
    <row r="69" spans="1:13" ht="13.5" customHeight="1">
      <c r="A69" s="53">
        <v>44668</v>
      </c>
      <c r="B69" s="17"/>
      <c r="C69" s="17"/>
      <c r="D69" s="17"/>
      <c r="E69" s="17"/>
      <c r="F69" s="17"/>
      <c r="G69" s="18"/>
      <c r="H69" s="19">
        <v>0.67500000000000004</v>
      </c>
    </row>
    <row r="70" spans="1:13">
      <c r="A70" s="30">
        <v>44652</v>
      </c>
      <c r="B70" s="13">
        <v>53.17</v>
      </c>
      <c r="C70" s="13">
        <v>59.25</v>
      </c>
      <c r="D70" s="13">
        <v>52.42</v>
      </c>
      <c r="E70" s="13">
        <v>59.25</v>
      </c>
      <c r="F70" s="13">
        <v>49.81</v>
      </c>
      <c r="G70" s="14">
        <v>140310364</v>
      </c>
    </row>
    <row r="71" spans="1:13">
      <c r="A71" s="62">
        <v>44651</v>
      </c>
      <c r="B71" s="63"/>
      <c r="C71" s="63"/>
      <c r="D71" s="63"/>
      <c r="E71" s="63"/>
      <c r="F71" s="63"/>
      <c r="G71" s="64"/>
      <c r="H71" s="65"/>
      <c r="I71" s="66"/>
      <c r="J71" s="74">
        <v>4565806</v>
      </c>
      <c r="K71" s="74">
        <v>476981196</v>
      </c>
      <c r="L71" s="74">
        <f>108945824+19036336</f>
        <v>127982160</v>
      </c>
      <c r="M71" s="81"/>
    </row>
    <row r="72" spans="1:13">
      <c r="A72" s="30">
        <v>44621</v>
      </c>
      <c r="B72" s="13">
        <v>51.38</v>
      </c>
      <c r="C72" s="13">
        <v>54.6</v>
      </c>
      <c r="D72" s="13">
        <v>49.5</v>
      </c>
      <c r="E72" s="13">
        <v>53.17</v>
      </c>
      <c r="F72" s="13">
        <v>44.71</v>
      </c>
      <c r="G72" s="14">
        <v>169877802</v>
      </c>
    </row>
    <row r="73" spans="1:13">
      <c r="A73" s="30">
        <v>44593</v>
      </c>
      <c r="B73" s="13">
        <v>55.8</v>
      </c>
      <c r="C73" s="13">
        <v>56.25</v>
      </c>
      <c r="D73" s="13">
        <v>50.33</v>
      </c>
      <c r="E73" s="13">
        <v>51.15</v>
      </c>
      <c r="F73" s="13">
        <v>43</v>
      </c>
      <c r="G73" s="14">
        <v>126443368</v>
      </c>
    </row>
    <row r="74" spans="1:13">
      <c r="A74" s="30">
        <v>44562</v>
      </c>
      <c r="B74" s="13">
        <v>48</v>
      </c>
      <c r="C74" s="13">
        <v>56.47</v>
      </c>
      <c r="D74" s="13">
        <v>47.92</v>
      </c>
      <c r="E74" s="13">
        <v>55.35</v>
      </c>
      <c r="F74" s="13">
        <v>46.54</v>
      </c>
      <c r="G74" s="14">
        <v>65652064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02BD-1330-45A9-8B95-CBE808501CFB}">
  <dimension ref="A1:N79"/>
  <sheetViews>
    <sheetView rightToLeft="1" workbookViewId="0">
      <pane ySplit="1" topLeftCell="A2" activePane="bottomLeft" state="frozen"/>
      <selection pane="bottomLeft"/>
    </sheetView>
  </sheetViews>
  <sheetFormatPr defaultRowHeight="13.5"/>
  <cols>
    <col min="1" max="1" width="9.6875" style="24" bestFit="1" customWidth="1"/>
    <col min="2" max="4" width="5.1875" style="15" bestFit="1" customWidth="1"/>
    <col min="5" max="5" width="5.375" style="15" bestFit="1" customWidth="1"/>
    <col min="6" max="6" width="8.5" style="15" bestFit="1" customWidth="1"/>
    <col min="7" max="7" width="11.6875" style="25" bestFit="1" customWidth="1"/>
    <col min="8" max="8" width="7.6875" style="15" bestFit="1" customWidth="1"/>
    <col min="9" max="9" width="10.1875" style="16" bestFit="1" customWidth="1"/>
    <col min="10" max="10" width="12.4375" style="56" bestFit="1" customWidth="1"/>
    <col min="11" max="11" width="17.0625" style="56" bestFit="1" customWidth="1"/>
    <col min="12" max="12" width="14.5" style="56" bestFit="1" customWidth="1"/>
    <col min="13" max="13" width="18.4375" style="16" bestFit="1" customWidth="1"/>
    <col min="14" max="16384" width="9" style="16"/>
  </cols>
  <sheetData>
    <row r="1" spans="1:13" s="27" customFormat="1">
      <c r="A1" s="52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27" t="s">
        <v>10</v>
      </c>
      <c r="J1" s="55" t="s">
        <v>45</v>
      </c>
      <c r="K1" s="55" t="s">
        <v>17</v>
      </c>
      <c r="L1" s="55" t="s">
        <v>46</v>
      </c>
    </row>
    <row r="2" spans="1:13" customFormat="1">
      <c r="A2" s="79">
        <v>46022</v>
      </c>
      <c r="B2" s="66"/>
      <c r="C2" s="66"/>
      <c r="D2" s="66"/>
      <c r="E2" s="66"/>
      <c r="F2" s="66"/>
      <c r="G2" s="66"/>
      <c r="H2" s="66"/>
      <c r="I2" s="66"/>
      <c r="J2" s="67">
        <f>6397149-J7-J12-J18</f>
        <v>1723870</v>
      </c>
      <c r="K2" s="74">
        <v>94465228</v>
      </c>
      <c r="L2" s="74">
        <f>13463935+117591129+1853638</f>
        <v>132908702</v>
      </c>
      <c r="M2" s="68"/>
    </row>
    <row r="3" spans="1:13">
      <c r="A3" s="30">
        <v>45992</v>
      </c>
      <c r="B3" s="13">
        <v>24.3</v>
      </c>
      <c r="C3" s="13">
        <v>24.84</v>
      </c>
      <c r="D3" s="13">
        <v>24.02</v>
      </c>
      <c r="E3" s="13">
        <v>24.38</v>
      </c>
      <c r="F3" s="13">
        <v>24.38</v>
      </c>
      <c r="G3" s="14">
        <v>84939205</v>
      </c>
    </row>
    <row r="4" spans="1:13">
      <c r="A4" s="53">
        <v>45966</v>
      </c>
      <c r="B4" s="17"/>
      <c r="C4" s="17"/>
      <c r="D4" s="17"/>
      <c r="E4" s="17"/>
      <c r="F4" s="17"/>
      <c r="G4" s="18"/>
      <c r="H4" s="19">
        <v>0.3</v>
      </c>
    </row>
    <row r="5" spans="1:13">
      <c r="A5" s="30">
        <v>45962</v>
      </c>
      <c r="B5" s="13">
        <v>25.82</v>
      </c>
      <c r="C5" s="13">
        <v>26.08</v>
      </c>
      <c r="D5" s="13">
        <v>23.94</v>
      </c>
      <c r="E5" s="13">
        <v>24.29</v>
      </c>
      <c r="F5" s="13">
        <v>24.01</v>
      </c>
      <c r="G5" s="14">
        <v>94113321</v>
      </c>
    </row>
    <row r="6" spans="1:13">
      <c r="A6" s="30">
        <v>45931</v>
      </c>
      <c r="B6" s="13">
        <v>26.66</v>
      </c>
      <c r="C6" s="13">
        <v>27.26</v>
      </c>
      <c r="D6" s="13">
        <v>25.82</v>
      </c>
      <c r="E6" s="13">
        <v>25.9</v>
      </c>
      <c r="F6" s="13">
        <v>25.6</v>
      </c>
      <c r="G6" s="14">
        <v>152678435</v>
      </c>
    </row>
    <row r="7" spans="1:13">
      <c r="A7" s="62">
        <v>45930</v>
      </c>
      <c r="B7" s="63"/>
      <c r="C7" s="63"/>
      <c r="D7" s="63"/>
      <c r="E7" s="63"/>
      <c r="F7" s="63"/>
      <c r="G7" s="64"/>
      <c r="H7" s="65"/>
      <c r="I7" s="66"/>
      <c r="J7" s="67">
        <v>1592015</v>
      </c>
      <c r="K7" s="74">
        <v>109871800</v>
      </c>
      <c r="L7" s="74">
        <f>12012127+110630133+2108910</f>
        <v>124751170</v>
      </c>
      <c r="M7" s="81"/>
    </row>
    <row r="8" spans="1:13">
      <c r="A8" s="30">
        <v>45901</v>
      </c>
      <c r="B8" s="13">
        <v>25</v>
      </c>
      <c r="C8" s="13">
        <v>27.96</v>
      </c>
      <c r="D8" s="13">
        <v>24.47</v>
      </c>
      <c r="E8" s="13">
        <v>26.8</v>
      </c>
      <c r="F8" s="13">
        <v>26.49</v>
      </c>
      <c r="G8" s="14">
        <v>163481969</v>
      </c>
    </row>
    <row r="9" spans="1:13">
      <c r="A9" s="53">
        <v>45879</v>
      </c>
      <c r="B9" s="17"/>
      <c r="C9" s="17"/>
      <c r="D9" s="17"/>
      <c r="E9" s="17"/>
      <c r="F9" s="17"/>
      <c r="G9" s="18"/>
      <c r="H9" s="19">
        <v>0.3</v>
      </c>
    </row>
    <row r="10" spans="1:13">
      <c r="A10" s="30">
        <v>45870</v>
      </c>
      <c r="B10" s="13">
        <v>25.82</v>
      </c>
      <c r="C10" s="13">
        <v>26.3</v>
      </c>
      <c r="D10" s="13">
        <v>24.95</v>
      </c>
      <c r="E10" s="13">
        <v>24.95</v>
      </c>
      <c r="F10" s="13">
        <v>24.38</v>
      </c>
      <c r="G10" s="14">
        <v>90129158</v>
      </c>
    </row>
    <row r="11" spans="1:13">
      <c r="A11" s="30">
        <v>45839</v>
      </c>
      <c r="B11" s="13">
        <v>26.6</v>
      </c>
      <c r="C11" s="13">
        <v>27.5</v>
      </c>
      <c r="D11" s="13">
        <v>25.54</v>
      </c>
      <c r="E11" s="13">
        <v>25.82</v>
      </c>
      <c r="F11" s="13">
        <v>25.23</v>
      </c>
      <c r="G11" s="14">
        <v>100417553</v>
      </c>
    </row>
    <row r="12" spans="1:13">
      <c r="A12" s="62">
        <v>45838</v>
      </c>
      <c r="B12" s="63"/>
      <c r="C12" s="63"/>
      <c r="D12" s="63"/>
      <c r="E12" s="63"/>
      <c r="F12" s="63"/>
      <c r="G12" s="64"/>
      <c r="H12" s="65"/>
      <c r="I12" s="66"/>
      <c r="J12" s="67">
        <v>1573255</v>
      </c>
      <c r="K12" s="74">
        <v>102788153</v>
      </c>
      <c r="L12" s="74">
        <f>11813249+113424363+1918479</f>
        <v>127156091</v>
      </c>
      <c r="M12" s="81"/>
    </row>
    <row r="13" spans="1:13">
      <c r="A13" s="30">
        <v>45809</v>
      </c>
      <c r="B13" s="13">
        <v>25.9</v>
      </c>
      <c r="C13" s="13">
        <v>27.1</v>
      </c>
      <c r="D13" s="13">
        <v>24.52</v>
      </c>
      <c r="E13" s="13">
        <v>26.82</v>
      </c>
      <c r="F13" s="13">
        <v>26.2</v>
      </c>
      <c r="G13" s="14">
        <v>111475077</v>
      </c>
    </row>
    <row r="14" spans="1:13">
      <c r="A14" s="53">
        <v>45791</v>
      </c>
      <c r="B14" s="17"/>
      <c r="C14" s="17"/>
      <c r="D14" s="17"/>
      <c r="E14" s="17"/>
      <c r="F14" s="17"/>
      <c r="G14" s="18"/>
      <c r="H14" s="19">
        <v>0.3</v>
      </c>
    </row>
    <row r="15" spans="1:13">
      <c r="A15" s="30">
        <v>45778</v>
      </c>
      <c r="B15" s="13">
        <v>29.05</v>
      </c>
      <c r="C15" s="13">
        <v>29.05</v>
      </c>
      <c r="D15" s="13">
        <v>25.85</v>
      </c>
      <c r="E15" s="13">
        <v>25.85</v>
      </c>
      <c r="F15" s="13">
        <v>24.99</v>
      </c>
      <c r="G15" s="14">
        <v>140491710</v>
      </c>
    </row>
    <row r="16" spans="1:13">
      <c r="A16" s="53">
        <v>45774</v>
      </c>
      <c r="B16" s="17"/>
      <c r="C16" s="17"/>
      <c r="D16" s="17"/>
      <c r="E16" s="17"/>
      <c r="F16" s="17"/>
      <c r="G16" s="18"/>
      <c r="H16" s="19">
        <v>0.3</v>
      </c>
    </row>
    <row r="17" spans="1:13">
      <c r="A17" s="30">
        <v>45748</v>
      </c>
      <c r="B17" s="13">
        <v>30.7</v>
      </c>
      <c r="C17" s="13">
        <v>30.9</v>
      </c>
      <c r="D17" s="13">
        <v>27.5</v>
      </c>
      <c r="E17" s="13">
        <v>29</v>
      </c>
      <c r="F17" s="13">
        <v>27.75</v>
      </c>
      <c r="G17" s="14">
        <v>114570134</v>
      </c>
    </row>
    <row r="18" spans="1:13">
      <c r="A18" s="62">
        <v>45747</v>
      </c>
      <c r="B18" s="63"/>
      <c r="C18" s="63"/>
      <c r="D18" s="63"/>
      <c r="E18" s="63"/>
      <c r="F18" s="63"/>
      <c r="G18" s="64"/>
      <c r="H18" s="65"/>
      <c r="I18" s="66"/>
      <c r="J18" s="67">
        <v>1508009</v>
      </c>
      <c r="K18" s="74">
        <v>103874915</v>
      </c>
      <c r="L18" s="74">
        <f>12025058+100914887+2023904</f>
        <v>114963849</v>
      </c>
      <c r="M18" s="81"/>
    </row>
    <row r="19" spans="1:13">
      <c r="A19" s="30">
        <v>45717</v>
      </c>
      <c r="B19" s="13">
        <v>30.3</v>
      </c>
      <c r="C19" s="13">
        <v>31.3</v>
      </c>
      <c r="D19" s="13">
        <v>28.7</v>
      </c>
      <c r="E19" s="13">
        <v>30.7</v>
      </c>
      <c r="F19" s="13">
        <v>29.38</v>
      </c>
      <c r="G19" s="14">
        <v>94537184</v>
      </c>
    </row>
    <row r="20" spans="1:13">
      <c r="A20" s="30">
        <v>45689</v>
      </c>
      <c r="B20" s="13">
        <v>29.85</v>
      </c>
      <c r="C20" s="13">
        <v>31.2</v>
      </c>
      <c r="D20" s="13">
        <v>29.35</v>
      </c>
      <c r="E20" s="13">
        <v>30.3</v>
      </c>
      <c r="F20" s="13">
        <v>28.99</v>
      </c>
      <c r="G20" s="14">
        <v>109338460</v>
      </c>
    </row>
    <row r="21" spans="1:13">
      <c r="A21" s="30">
        <v>45658</v>
      </c>
      <c r="B21" s="13">
        <v>28.95</v>
      </c>
      <c r="C21" s="13">
        <v>30.55</v>
      </c>
      <c r="D21" s="13">
        <v>28.95</v>
      </c>
      <c r="E21" s="13">
        <v>29.85</v>
      </c>
      <c r="F21" s="13">
        <v>28.56</v>
      </c>
      <c r="G21" s="14">
        <v>112901460</v>
      </c>
    </row>
    <row r="22" spans="1:13">
      <c r="A22" s="62">
        <v>45657</v>
      </c>
      <c r="B22" s="63"/>
      <c r="C22" s="63"/>
      <c r="D22" s="63"/>
      <c r="E22" s="63"/>
      <c r="F22" s="63"/>
      <c r="G22" s="64"/>
      <c r="H22" s="65"/>
      <c r="I22" s="66"/>
      <c r="J22" s="74">
        <f>5831661-J27-J32-J38</f>
        <v>1528897</v>
      </c>
      <c r="K22" s="74">
        <v>95253337</v>
      </c>
      <c r="L22" s="74">
        <f>11643387+101805095+1842831</f>
        <v>115291313</v>
      </c>
      <c r="M22" s="57"/>
    </row>
    <row r="23" spans="1:13">
      <c r="A23" s="30">
        <v>45627</v>
      </c>
      <c r="B23" s="13">
        <v>27.6</v>
      </c>
      <c r="C23" s="13">
        <v>29.4</v>
      </c>
      <c r="D23" s="13">
        <v>27.55</v>
      </c>
      <c r="E23" s="13">
        <v>28.95</v>
      </c>
      <c r="F23" s="13">
        <v>27.7</v>
      </c>
      <c r="G23" s="14">
        <v>114515061</v>
      </c>
    </row>
    <row r="24" spans="1:13">
      <c r="A24" s="53">
        <v>45606</v>
      </c>
      <c r="B24" s="17" t="s">
        <v>9</v>
      </c>
      <c r="C24" s="17"/>
      <c r="D24" s="17"/>
      <c r="E24" s="17"/>
      <c r="F24" s="17"/>
      <c r="G24" s="18"/>
      <c r="H24" s="19">
        <v>0.3</v>
      </c>
    </row>
    <row r="25" spans="1:13">
      <c r="A25" s="30">
        <v>45597</v>
      </c>
      <c r="B25" s="13">
        <v>28.15</v>
      </c>
      <c r="C25" s="13">
        <v>29</v>
      </c>
      <c r="D25" s="13">
        <v>27.35</v>
      </c>
      <c r="E25" s="13">
        <v>27.8</v>
      </c>
      <c r="F25" s="13">
        <v>26.32</v>
      </c>
      <c r="G25" s="14">
        <v>123464575</v>
      </c>
    </row>
    <row r="26" spans="1:13">
      <c r="A26" s="30">
        <v>45566</v>
      </c>
      <c r="B26" s="13">
        <v>28.6</v>
      </c>
      <c r="C26" s="13">
        <v>29.55</v>
      </c>
      <c r="D26" s="13">
        <v>27.4</v>
      </c>
      <c r="E26" s="13">
        <v>28.1</v>
      </c>
      <c r="F26" s="13">
        <v>26.61</v>
      </c>
      <c r="G26" s="14">
        <v>161410539</v>
      </c>
    </row>
    <row r="27" spans="1:13">
      <c r="A27" s="62">
        <v>45565</v>
      </c>
      <c r="B27" s="63"/>
      <c r="C27" s="63"/>
      <c r="D27" s="63"/>
      <c r="E27" s="63"/>
      <c r="F27" s="63"/>
      <c r="G27" s="64"/>
      <c r="H27" s="65"/>
      <c r="I27" s="66"/>
      <c r="J27" s="74">
        <v>1571463</v>
      </c>
      <c r="K27" s="74">
        <v>94447750</v>
      </c>
      <c r="L27" s="74">
        <f>11128525+101681701+1881991</f>
        <v>114692217</v>
      </c>
      <c r="M27" s="81"/>
    </row>
    <row r="28" spans="1:13">
      <c r="A28" s="30">
        <v>45536</v>
      </c>
      <c r="B28" s="13">
        <v>31.35</v>
      </c>
      <c r="C28" s="13">
        <v>32.049999999999997</v>
      </c>
      <c r="D28" s="13">
        <v>28.5</v>
      </c>
      <c r="E28" s="13">
        <v>28.5</v>
      </c>
      <c r="F28" s="13">
        <v>26.98</v>
      </c>
      <c r="G28" s="14">
        <v>151182928</v>
      </c>
    </row>
    <row r="29" spans="1:13">
      <c r="A29" s="53">
        <v>45523</v>
      </c>
      <c r="B29" s="17"/>
      <c r="C29" s="17"/>
      <c r="D29" s="17"/>
      <c r="E29" s="17"/>
      <c r="F29" s="17"/>
      <c r="G29" s="18"/>
      <c r="H29" s="19">
        <v>0.25</v>
      </c>
    </row>
    <row r="30" spans="1:13">
      <c r="A30" s="30">
        <v>45505</v>
      </c>
      <c r="B30" s="13">
        <v>32.35</v>
      </c>
      <c r="C30" s="13">
        <v>33.200000000000003</v>
      </c>
      <c r="D30" s="13">
        <v>30.1</v>
      </c>
      <c r="E30" s="13">
        <v>31.2</v>
      </c>
      <c r="F30" s="13">
        <v>29.31</v>
      </c>
      <c r="G30" s="14">
        <v>138372852</v>
      </c>
    </row>
    <row r="31" spans="1:13">
      <c r="A31" s="30">
        <v>45474</v>
      </c>
      <c r="B31" s="13">
        <v>31.15</v>
      </c>
      <c r="C31" s="13">
        <v>32.950000000000003</v>
      </c>
      <c r="D31" s="13">
        <v>30.6</v>
      </c>
      <c r="E31" s="13">
        <v>32.4</v>
      </c>
      <c r="F31" s="13">
        <v>30.43</v>
      </c>
      <c r="G31" s="14">
        <v>75135141</v>
      </c>
    </row>
    <row r="32" spans="1:13">
      <c r="A32" s="62">
        <v>45473</v>
      </c>
      <c r="B32" s="63"/>
      <c r="C32" s="63"/>
      <c r="D32" s="63"/>
      <c r="E32" s="63"/>
      <c r="F32" s="63"/>
      <c r="G32" s="64"/>
      <c r="H32" s="65"/>
      <c r="I32" s="66"/>
      <c r="J32" s="74">
        <v>1416567</v>
      </c>
      <c r="K32" s="74">
        <v>91940335</v>
      </c>
      <c r="L32" s="74">
        <f>10144030+101503276+1768954</f>
        <v>113416260</v>
      </c>
      <c r="M32" s="81"/>
    </row>
    <row r="33" spans="1:14">
      <c r="A33" s="30">
        <v>45444</v>
      </c>
      <c r="B33" s="13">
        <v>31</v>
      </c>
      <c r="C33" s="13">
        <v>33.299999999999997</v>
      </c>
      <c r="D33" s="13">
        <v>30.5</v>
      </c>
      <c r="E33" s="13">
        <v>31.1</v>
      </c>
      <c r="F33" s="13">
        <v>29.21</v>
      </c>
      <c r="G33" s="14">
        <v>76669707</v>
      </c>
    </row>
    <row r="34" spans="1:14">
      <c r="A34" s="53">
        <v>45432</v>
      </c>
      <c r="B34" s="17"/>
      <c r="C34" s="17"/>
      <c r="D34" s="17"/>
      <c r="E34" s="17"/>
      <c r="F34" s="17"/>
      <c r="G34" s="18"/>
      <c r="H34" s="19">
        <v>0.25</v>
      </c>
    </row>
    <row r="35" spans="1:14" ht="13.9" thickBot="1">
      <c r="A35" s="30">
        <v>45413</v>
      </c>
      <c r="B35" s="13">
        <v>33.450000000000003</v>
      </c>
      <c r="C35" s="13">
        <v>33.5</v>
      </c>
      <c r="D35" s="13">
        <v>30.1</v>
      </c>
      <c r="E35" s="13">
        <v>31</v>
      </c>
      <c r="F35" s="13">
        <v>28.89</v>
      </c>
      <c r="G35" s="14">
        <v>98240010</v>
      </c>
    </row>
    <row r="36" spans="1:14" ht="14.65" thickTop="1" thickBot="1">
      <c r="A36" s="54">
        <v>45406</v>
      </c>
      <c r="B36" s="22"/>
      <c r="C36" s="22"/>
      <c r="D36" s="22"/>
      <c r="E36" s="22"/>
      <c r="F36" s="22"/>
      <c r="G36" s="32"/>
      <c r="H36" s="22"/>
      <c r="I36" s="33">
        <v>0.21111111111111111</v>
      </c>
      <c r="J36" s="75"/>
      <c r="K36" s="75"/>
      <c r="L36" s="75"/>
      <c r="M36" s="34"/>
      <c r="N36" s="34"/>
    </row>
    <row r="37" spans="1:14" ht="13.9" thickTop="1">
      <c r="A37" s="30">
        <v>45383</v>
      </c>
      <c r="B37" s="13">
        <v>34.04</v>
      </c>
      <c r="C37" s="13">
        <v>35.6</v>
      </c>
      <c r="D37" s="13">
        <v>32.5</v>
      </c>
      <c r="E37" s="13">
        <v>33.35</v>
      </c>
      <c r="F37" s="13">
        <v>31.08</v>
      </c>
      <c r="G37" s="14">
        <v>79283962</v>
      </c>
    </row>
    <row r="38" spans="1:14">
      <c r="A38" s="62">
        <v>45382</v>
      </c>
      <c r="B38" s="63"/>
      <c r="C38" s="63"/>
      <c r="D38" s="63"/>
      <c r="E38" s="63"/>
      <c r="F38" s="63"/>
      <c r="G38" s="64"/>
      <c r="H38" s="65"/>
      <c r="I38" s="66"/>
      <c r="J38" s="74">
        <v>1314734</v>
      </c>
      <c r="K38" s="74">
        <v>84224586</v>
      </c>
      <c r="L38" s="74">
        <f>9774125+93216293+1772833</f>
        <v>104763251</v>
      </c>
      <c r="M38" s="81"/>
    </row>
    <row r="39" spans="1:14">
      <c r="A39" s="30">
        <v>45352</v>
      </c>
      <c r="B39" s="13">
        <v>35.159999999999997</v>
      </c>
      <c r="C39" s="13">
        <v>35.840000000000003</v>
      </c>
      <c r="D39" s="13">
        <v>33.32</v>
      </c>
      <c r="E39" s="13">
        <v>34.04</v>
      </c>
      <c r="F39" s="13">
        <v>31.72</v>
      </c>
      <c r="G39" s="14">
        <v>71687946</v>
      </c>
    </row>
    <row r="40" spans="1:14">
      <c r="A40" s="30">
        <v>45323</v>
      </c>
      <c r="B40" s="13">
        <v>33.08</v>
      </c>
      <c r="C40" s="13">
        <v>36</v>
      </c>
      <c r="D40" s="13">
        <v>32.880000000000003</v>
      </c>
      <c r="E40" s="13">
        <v>35.159999999999997</v>
      </c>
      <c r="F40" s="13">
        <v>32.770000000000003</v>
      </c>
      <c r="G40" s="14">
        <v>88599828</v>
      </c>
    </row>
    <row r="41" spans="1:14">
      <c r="A41" s="30">
        <v>45292</v>
      </c>
      <c r="B41" s="13">
        <v>31.48</v>
      </c>
      <c r="C41" s="13">
        <v>35.04</v>
      </c>
      <c r="D41" s="13">
        <v>30.44</v>
      </c>
      <c r="E41" s="13">
        <v>33.159999999999997</v>
      </c>
      <c r="F41" s="13">
        <v>30.9</v>
      </c>
      <c r="G41" s="14">
        <v>157724920</v>
      </c>
    </row>
    <row r="42" spans="1:14">
      <c r="A42" s="62">
        <v>45291</v>
      </c>
      <c r="B42" s="63"/>
      <c r="C42" s="63"/>
      <c r="D42" s="63"/>
      <c r="E42" s="63"/>
      <c r="F42" s="63"/>
      <c r="G42" s="64"/>
      <c r="H42" s="65"/>
      <c r="I42" s="66"/>
      <c r="J42" s="74">
        <f>4839206-J47-J52-J58</f>
        <v>1072778</v>
      </c>
      <c r="K42" s="74">
        <v>78955995</v>
      </c>
      <c r="L42" s="74">
        <f>9833634+97348367+1762585</f>
        <v>108944586</v>
      </c>
      <c r="M42" s="57"/>
    </row>
    <row r="43" spans="1:14">
      <c r="A43" s="30">
        <v>45261</v>
      </c>
      <c r="B43" s="13">
        <v>28.6</v>
      </c>
      <c r="C43" s="13">
        <v>31.24</v>
      </c>
      <c r="D43" s="13">
        <v>27.92</v>
      </c>
      <c r="E43" s="13">
        <v>30.92</v>
      </c>
      <c r="F43" s="13">
        <v>28.81</v>
      </c>
      <c r="G43" s="14">
        <v>102142418</v>
      </c>
    </row>
    <row r="44" spans="1:14">
      <c r="A44" s="53">
        <v>45239</v>
      </c>
      <c r="B44" s="17"/>
      <c r="C44" s="17"/>
      <c r="D44" s="17"/>
      <c r="E44" s="17"/>
      <c r="F44" s="17"/>
      <c r="G44" s="18"/>
      <c r="H44" s="19">
        <v>0.24</v>
      </c>
    </row>
    <row r="45" spans="1:14">
      <c r="A45" s="30">
        <v>45231</v>
      </c>
      <c r="B45" s="13">
        <v>26.52</v>
      </c>
      <c r="C45" s="13">
        <v>28.92</v>
      </c>
      <c r="D45" s="13">
        <v>26.32</v>
      </c>
      <c r="E45" s="13">
        <v>28.64</v>
      </c>
      <c r="F45" s="13">
        <v>26.46</v>
      </c>
      <c r="G45" s="14">
        <v>97675006</v>
      </c>
    </row>
    <row r="46" spans="1:14">
      <c r="A46" s="30">
        <v>45200</v>
      </c>
      <c r="B46" s="13">
        <v>26.72</v>
      </c>
      <c r="C46" s="13">
        <v>27.4</v>
      </c>
      <c r="D46" s="13">
        <v>24.24</v>
      </c>
      <c r="E46" s="13">
        <v>26.32</v>
      </c>
      <c r="F46" s="13">
        <v>24.32</v>
      </c>
      <c r="G46" s="14">
        <v>126406471</v>
      </c>
    </row>
    <row r="47" spans="1:14">
      <c r="A47" s="62">
        <v>45199</v>
      </c>
      <c r="B47" s="63"/>
      <c r="C47" s="63"/>
      <c r="D47" s="63"/>
      <c r="E47" s="63"/>
      <c r="F47" s="63"/>
      <c r="G47" s="64"/>
      <c r="H47" s="65"/>
      <c r="I47" s="66"/>
      <c r="J47" s="74">
        <v>1571463</v>
      </c>
      <c r="K47" s="74">
        <v>79286776</v>
      </c>
      <c r="L47" s="74">
        <f>9073975+90244908+1627509</f>
        <v>100946392</v>
      </c>
      <c r="M47" s="81"/>
    </row>
    <row r="48" spans="1:14">
      <c r="A48" s="30">
        <v>45170</v>
      </c>
      <c r="B48" s="13">
        <v>29.48</v>
      </c>
      <c r="C48" s="13">
        <v>29.56</v>
      </c>
      <c r="D48" s="13">
        <v>26.24</v>
      </c>
      <c r="E48" s="13">
        <v>26.72</v>
      </c>
      <c r="F48" s="13">
        <v>24.69</v>
      </c>
      <c r="G48" s="14">
        <v>92623791</v>
      </c>
    </row>
    <row r="49" spans="1:13">
      <c r="A49" s="53">
        <v>45148</v>
      </c>
      <c r="B49" s="17"/>
      <c r="C49" s="17"/>
      <c r="D49" s="17"/>
      <c r="E49" s="17"/>
      <c r="F49" s="17"/>
      <c r="G49" s="18"/>
      <c r="H49" s="19">
        <v>0.24</v>
      </c>
    </row>
    <row r="50" spans="1:13">
      <c r="A50" s="30">
        <v>45139</v>
      </c>
      <c r="B50" s="13">
        <v>29.6</v>
      </c>
      <c r="C50" s="13">
        <v>30.08</v>
      </c>
      <c r="D50" s="13">
        <v>27.88</v>
      </c>
      <c r="E50" s="13">
        <v>29.52</v>
      </c>
      <c r="F50" s="13">
        <v>27.05</v>
      </c>
      <c r="G50" s="14">
        <v>103331516</v>
      </c>
    </row>
    <row r="51" spans="1:13">
      <c r="A51" s="30">
        <v>45108</v>
      </c>
      <c r="B51" s="13">
        <v>26.92</v>
      </c>
      <c r="C51" s="13">
        <v>31.84</v>
      </c>
      <c r="D51" s="13">
        <v>26.92</v>
      </c>
      <c r="E51" s="13">
        <v>29.6</v>
      </c>
      <c r="F51" s="13">
        <v>27.12</v>
      </c>
      <c r="G51" s="14">
        <v>110369821</v>
      </c>
    </row>
    <row r="52" spans="1:13">
      <c r="A52" s="62">
        <v>45107</v>
      </c>
      <c r="B52" s="63"/>
      <c r="C52" s="63"/>
      <c r="D52" s="63"/>
      <c r="E52" s="63"/>
      <c r="F52" s="63"/>
      <c r="G52" s="64"/>
      <c r="H52" s="65"/>
      <c r="I52" s="66"/>
      <c r="J52" s="74">
        <v>1225079</v>
      </c>
      <c r="K52" s="74">
        <v>77031916</v>
      </c>
      <c r="L52" s="74">
        <f>8637070+90705283+1499509</f>
        <v>100841862</v>
      </c>
      <c r="M52" s="81"/>
    </row>
    <row r="53" spans="1:13">
      <c r="A53" s="30">
        <v>45078</v>
      </c>
      <c r="B53" s="13">
        <v>25.72</v>
      </c>
      <c r="C53" s="13">
        <v>27.6</v>
      </c>
      <c r="D53" s="13">
        <v>25.64</v>
      </c>
      <c r="E53" s="13">
        <v>26.8</v>
      </c>
      <c r="F53" s="13">
        <v>24.56</v>
      </c>
      <c r="G53" s="14">
        <v>11725662</v>
      </c>
    </row>
    <row r="54" spans="1:13">
      <c r="A54" s="53">
        <v>45076</v>
      </c>
      <c r="B54" s="17"/>
      <c r="C54" s="17"/>
      <c r="D54" s="17"/>
      <c r="E54" s="17"/>
      <c r="F54" s="17"/>
      <c r="G54" s="18"/>
      <c r="H54" s="19">
        <v>0.2</v>
      </c>
    </row>
    <row r="55" spans="1:13">
      <c r="A55" s="30">
        <v>45047</v>
      </c>
      <c r="B55" s="13">
        <v>25.32</v>
      </c>
      <c r="C55" s="13">
        <v>26.76</v>
      </c>
      <c r="D55" s="13">
        <v>24.48</v>
      </c>
      <c r="E55" s="13">
        <v>26.12</v>
      </c>
      <c r="F55" s="13">
        <v>23.37</v>
      </c>
      <c r="G55" s="14">
        <v>102527</v>
      </c>
    </row>
    <row r="56" spans="1:13">
      <c r="A56" s="53">
        <v>45047</v>
      </c>
      <c r="B56" s="17"/>
      <c r="C56" s="17"/>
      <c r="D56" s="17"/>
      <c r="E56" s="17"/>
      <c r="F56" s="17"/>
      <c r="G56" s="18"/>
      <c r="H56" s="19">
        <v>0.4</v>
      </c>
    </row>
    <row r="57" spans="1:13">
      <c r="A57" s="30">
        <v>45017</v>
      </c>
      <c r="B57" s="13">
        <v>23.56</v>
      </c>
      <c r="C57" s="13">
        <v>26</v>
      </c>
      <c r="D57" s="13">
        <v>23.56</v>
      </c>
      <c r="E57" s="13">
        <v>25.32</v>
      </c>
      <c r="F57" s="13">
        <v>22.66</v>
      </c>
      <c r="G57" s="14">
        <v>111523</v>
      </c>
    </row>
    <row r="58" spans="1:13">
      <c r="A58" s="62">
        <v>45016</v>
      </c>
      <c r="B58" s="63"/>
      <c r="C58" s="63"/>
      <c r="D58" s="63"/>
      <c r="E58" s="63"/>
      <c r="F58" s="63"/>
      <c r="G58" s="64"/>
      <c r="H58" s="65"/>
      <c r="I58" s="66"/>
      <c r="J58" s="74">
        <v>969886</v>
      </c>
      <c r="K58" s="74">
        <v>75398219</v>
      </c>
      <c r="L58" s="74">
        <f>7859412+75244148+1446673</f>
        <v>84550233</v>
      </c>
      <c r="M58" s="81"/>
    </row>
    <row r="59" spans="1:13">
      <c r="A59" s="30">
        <v>44986</v>
      </c>
      <c r="B59" s="13">
        <v>23.6</v>
      </c>
      <c r="C59" s="13">
        <v>24.8</v>
      </c>
      <c r="D59" s="13">
        <v>22.6</v>
      </c>
      <c r="E59" s="13">
        <v>23.56</v>
      </c>
      <c r="F59" s="13">
        <v>21.08</v>
      </c>
      <c r="G59" s="14">
        <v>38670</v>
      </c>
    </row>
    <row r="60" spans="1:13">
      <c r="A60" s="30">
        <v>44958</v>
      </c>
      <c r="B60" s="13">
        <v>26.2</v>
      </c>
      <c r="C60" s="13">
        <v>26.44</v>
      </c>
      <c r="D60" s="13">
        <v>21.92</v>
      </c>
      <c r="E60" s="13">
        <v>23.56</v>
      </c>
      <c r="F60" s="13">
        <v>21.08</v>
      </c>
      <c r="G60" s="14">
        <v>144093077</v>
      </c>
    </row>
    <row r="61" spans="1:13">
      <c r="A61" s="30">
        <v>44927</v>
      </c>
      <c r="B61" s="13">
        <v>26.04</v>
      </c>
      <c r="C61" s="13">
        <v>26.88</v>
      </c>
      <c r="D61" s="13">
        <v>25.4</v>
      </c>
      <c r="E61" s="13">
        <v>26.28</v>
      </c>
      <c r="F61" s="13">
        <v>23.52</v>
      </c>
      <c r="G61" s="14">
        <v>70025140</v>
      </c>
    </row>
    <row r="62" spans="1:13">
      <c r="A62" s="79">
        <v>44926</v>
      </c>
      <c r="B62" s="76"/>
      <c r="C62" s="76"/>
      <c r="D62" s="76"/>
      <c r="E62" s="76"/>
      <c r="F62" s="76"/>
      <c r="G62" s="77"/>
      <c r="H62" s="69"/>
      <c r="I62" s="78"/>
      <c r="J62" s="72">
        <f>3599140-J66-J71-J76</f>
        <v>860278</v>
      </c>
      <c r="K62" s="74">
        <v>73887522</v>
      </c>
      <c r="L62" s="74">
        <f>7093170+62679182+1508616</f>
        <v>71280968</v>
      </c>
      <c r="M62" s="57"/>
    </row>
    <row r="63" spans="1:13">
      <c r="A63" s="30">
        <v>44896</v>
      </c>
      <c r="B63" s="13">
        <v>27.6</v>
      </c>
      <c r="C63" s="13">
        <v>28</v>
      </c>
      <c r="D63" s="13">
        <v>23.36</v>
      </c>
      <c r="E63" s="13">
        <v>26.04</v>
      </c>
      <c r="F63" s="13">
        <v>23.3</v>
      </c>
      <c r="G63" s="14">
        <v>88288011</v>
      </c>
    </row>
    <row r="64" spans="1:13">
      <c r="A64" s="30">
        <v>44866</v>
      </c>
      <c r="B64" s="13">
        <v>30</v>
      </c>
      <c r="C64" s="13">
        <v>31.2</v>
      </c>
      <c r="D64" s="13">
        <v>25.4</v>
      </c>
      <c r="E64" s="13">
        <v>27.6</v>
      </c>
      <c r="F64" s="13">
        <v>24.7</v>
      </c>
      <c r="G64" s="14">
        <v>124128777</v>
      </c>
    </row>
    <row r="65" spans="1:13">
      <c r="A65" s="30">
        <v>44835</v>
      </c>
      <c r="B65" s="13">
        <v>29.04</v>
      </c>
      <c r="C65" s="13">
        <v>31.04</v>
      </c>
      <c r="D65" s="13">
        <v>28.24</v>
      </c>
      <c r="E65" s="13">
        <v>29.6</v>
      </c>
      <c r="F65" s="13">
        <v>26.49</v>
      </c>
      <c r="G65" s="14">
        <v>138977253</v>
      </c>
    </row>
    <row r="66" spans="1:13">
      <c r="A66" s="62">
        <v>44834</v>
      </c>
      <c r="B66" s="63"/>
      <c r="C66" s="63"/>
      <c r="D66" s="63"/>
      <c r="E66" s="63"/>
      <c r="F66" s="63"/>
      <c r="G66" s="64"/>
      <c r="H66" s="65"/>
      <c r="I66" s="66"/>
      <c r="J66" s="74">
        <v>989025</v>
      </c>
      <c r="K66" s="74">
        <v>78151337</v>
      </c>
      <c r="L66" s="74">
        <f>6940752+45602936+1353300</f>
        <v>53896988</v>
      </c>
      <c r="M66" s="81"/>
    </row>
    <row r="67" spans="1:13">
      <c r="A67" s="30">
        <v>44805</v>
      </c>
      <c r="B67" s="13">
        <v>30.04</v>
      </c>
      <c r="C67" s="13">
        <v>30.48</v>
      </c>
      <c r="D67" s="13">
        <v>27.44</v>
      </c>
      <c r="E67" s="13">
        <v>29</v>
      </c>
      <c r="F67" s="13">
        <v>25.95</v>
      </c>
      <c r="G67" s="14">
        <v>139581960</v>
      </c>
    </row>
    <row r="68" spans="1:13">
      <c r="A68" s="53">
        <v>44774</v>
      </c>
      <c r="B68" s="17"/>
      <c r="C68" s="17"/>
      <c r="D68" s="17"/>
      <c r="E68" s="17"/>
      <c r="F68" s="17"/>
      <c r="G68" s="18"/>
      <c r="H68" s="19">
        <v>0.36</v>
      </c>
    </row>
    <row r="69" spans="1:13">
      <c r="A69" s="30">
        <v>44774</v>
      </c>
      <c r="B69" s="13">
        <v>30.24</v>
      </c>
      <c r="C69" s="13">
        <v>31.8</v>
      </c>
      <c r="D69" s="13">
        <v>29.72</v>
      </c>
      <c r="E69" s="13">
        <v>30.4</v>
      </c>
      <c r="F69" s="13">
        <v>26.88</v>
      </c>
      <c r="G69" s="14">
        <v>110690462</v>
      </c>
    </row>
    <row r="70" spans="1:13">
      <c r="A70" s="30">
        <v>44743</v>
      </c>
      <c r="B70" s="13">
        <v>26.88</v>
      </c>
      <c r="C70" s="13">
        <v>31</v>
      </c>
      <c r="D70" s="13">
        <v>25.6</v>
      </c>
      <c r="E70" s="13">
        <v>30.36</v>
      </c>
      <c r="F70" s="13">
        <v>26.85</v>
      </c>
      <c r="G70" s="14">
        <v>134562057</v>
      </c>
    </row>
    <row r="71" spans="1:13">
      <c r="A71" s="62">
        <v>44742</v>
      </c>
      <c r="B71" s="63"/>
      <c r="C71" s="63"/>
      <c r="D71" s="63"/>
      <c r="E71" s="63"/>
      <c r="F71" s="63"/>
      <c r="G71" s="64"/>
      <c r="H71" s="65"/>
      <c r="I71" s="66"/>
      <c r="J71" s="74">
        <v>925090</v>
      </c>
      <c r="K71" s="74">
        <v>83830518</v>
      </c>
      <c r="L71" s="74">
        <f>7262489+37951638+1331317</f>
        <v>46545444</v>
      </c>
      <c r="M71" s="81"/>
    </row>
    <row r="72" spans="1:13">
      <c r="A72" s="30">
        <v>44713</v>
      </c>
      <c r="B72" s="13">
        <v>30.84</v>
      </c>
      <c r="C72" s="13">
        <v>31.08</v>
      </c>
      <c r="D72" s="13">
        <v>24.96</v>
      </c>
      <c r="E72" s="13">
        <v>26.72</v>
      </c>
      <c r="F72" s="13">
        <v>23.63</v>
      </c>
      <c r="G72" s="14">
        <v>205962055</v>
      </c>
    </row>
    <row r="73" spans="1:13">
      <c r="A73" s="30">
        <v>44682</v>
      </c>
      <c r="B73" s="13">
        <v>33.159999999999997</v>
      </c>
      <c r="C73" s="13">
        <v>33.840000000000003</v>
      </c>
      <c r="D73" s="13">
        <v>27.08</v>
      </c>
      <c r="E73" s="13">
        <v>30.8</v>
      </c>
      <c r="F73" s="13">
        <v>27.23</v>
      </c>
      <c r="G73" s="14">
        <v>217034008</v>
      </c>
    </row>
    <row r="74" spans="1:13">
      <c r="A74" s="53">
        <v>44665</v>
      </c>
      <c r="B74" s="35"/>
      <c r="C74" s="35"/>
      <c r="D74" s="35"/>
      <c r="E74" s="35"/>
      <c r="F74" s="35"/>
      <c r="G74" s="35"/>
      <c r="H74" s="19">
        <v>0.32</v>
      </c>
    </row>
    <row r="75" spans="1:13">
      <c r="A75" s="30">
        <v>44652</v>
      </c>
      <c r="B75" s="13">
        <v>31.28</v>
      </c>
      <c r="C75" s="13">
        <v>33.96</v>
      </c>
      <c r="D75" s="13">
        <v>30.88</v>
      </c>
      <c r="E75" s="13">
        <v>33.159999999999997</v>
      </c>
      <c r="F75" s="13">
        <v>29.04</v>
      </c>
      <c r="G75" s="14">
        <v>183133447</v>
      </c>
    </row>
    <row r="76" spans="1:13">
      <c r="A76" s="62">
        <v>44651</v>
      </c>
      <c r="B76" s="63"/>
      <c r="C76" s="63"/>
      <c r="D76" s="63"/>
      <c r="E76" s="63"/>
      <c r="F76" s="63"/>
      <c r="G76" s="64"/>
      <c r="H76" s="65"/>
      <c r="I76" s="66"/>
      <c r="J76" s="74">
        <v>824747</v>
      </c>
      <c r="K76" s="74">
        <v>76665311</v>
      </c>
      <c r="L76" s="74">
        <f>10065520+40011880+1292514</f>
        <v>51369914</v>
      </c>
      <c r="M76" s="81"/>
    </row>
    <row r="77" spans="1:13">
      <c r="A77" s="30">
        <v>44621</v>
      </c>
      <c r="B77" s="13">
        <v>28.4</v>
      </c>
      <c r="C77" s="13">
        <v>31.6</v>
      </c>
      <c r="D77" s="13">
        <v>26</v>
      </c>
      <c r="E77" s="13">
        <v>31.08</v>
      </c>
      <c r="F77" s="13">
        <v>27.22</v>
      </c>
      <c r="G77" s="14">
        <v>343373790</v>
      </c>
    </row>
    <row r="78" spans="1:13">
      <c r="A78" s="30">
        <v>44593</v>
      </c>
      <c r="B78" s="13">
        <v>23.96</v>
      </c>
      <c r="C78" s="13">
        <v>28.92</v>
      </c>
      <c r="D78" s="13">
        <v>23.12</v>
      </c>
      <c r="E78" s="13">
        <v>28.4</v>
      </c>
      <c r="F78" s="13">
        <v>24.87</v>
      </c>
      <c r="G78" s="14">
        <v>391538396</v>
      </c>
    </row>
    <row r="79" spans="1:13">
      <c r="A79" s="30">
        <v>44562</v>
      </c>
      <c r="B79" s="13">
        <v>19.18</v>
      </c>
      <c r="C79" s="13">
        <v>24</v>
      </c>
      <c r="D79" s="13">
        <v>19.149999999999999</v>
      </c>
      <c r="E79" s="13">
        <v>23.96</v>
      </c>
      <c r="F79" s="13">
        <v>20.98</v>
      </c>
      <c r="G79" s="14">
        <v>269247070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0C66-67E0-4404-A439-9471291DD5A6}">
  <dimension ref="A1:D49"/>
  <sheetViews>
    <sheetView rightToLeft="1" workbookViewId="0">
      <pane ySplit="1" topLeftCell="A21" activePane="bottomLeft" state="frozen"/>
      <selection pane="bottomLeft" activeCell="A2" sqref="A2:C49"/>
    </sheetView>
  </sheetViews>
  <sheetFormatPr defaultRowHeight="13.5"/>
  <cols>
    <col min="1" max="1" width="9.9375" style="24" bestFit="1" customWidth="1"/>
    <col min="2" max="2" width="17.125" style="56" bestFit="1" customWidth="1"/>
    <col min="3" max="3" width="14.5625" style="56" bestFit="1" customWidth="1"/>
    <col min="4" max="4" width="16.0625" style="16" customWidth="1"/>
  </cols>
  <sheetData>
    <row r="1" spans="1:4" s="2" customFormat="1">
      <c r="A1" s="83" t="s">
        <v>0</v>
      </c>
      <c r="B1" s="84" t="s">
        <v>17</v>
      </c>
      <c r="C1" s="84" t="s">
        <v>46</v>
      </c>
      <c r="D1" s="27" t="s">
        <v>47</v>
      </c>
    </row>
    <row r="2" spans="1:4">
      <c r="A2" s="87">
        <v>46022</v>
      </c>
      <c r="B2" s="87">
        <v>421380121</v>
      </c>
      <c r="C2" s="87">
        <f>234601072+11306307</f>
        <v>245907379</v>
      </c>
      <c r="D2" s="16" t="s">
        <v>48</v>
      </c>
    </row>
    <row r="3" spans="1:4">
      <c r="A3" s="87">
        <v>45930</v>
      </c>
      <c r="B3" s="87">
        <v>427438460</v>
      </c>
      <c r="C3" s="87">
        <f>230609182+12132607</f>
        <v>242741789</v>
      </c>
      <c r="D3" s="16" t="s">
        <v>48</v>
      </c>
    </row>
    <row r="4" spans="1:4">
      <c r="A4" s="87">
        <v>45838</v>
      </c>
      <c r="B4" s="87">
        <v>427530021</v>
      </c>
      <c r="C4" s="87">
        <f>202994355+11462344</f>
        <v>214456699</v>
      </c>
      <c r="D4" s="16" t="s">
        <v>48</v>
      </c>
    </row>
    <row r="5" spans="1:4">
      <c r="A5" s="87">
        <v>45747</v>
      </c>
      <c r="B5" s="87">
        <v>421647658</v>
      </c>
      <c r="C5" s="87">
        <f>195215798+12365686</f>
        <v>207581484</v>
      </c>
      <c r="D5" s="16" t="s">
        <v>48</v>
      </c>
    </row>
    <row r="6" spans="1:4">
      <c r="A6" s="87">
        <v>45657</v>
      </c>
      <c r="B6" s="87">
        <v>446437107</v>
      </c>
      <c r="C6" s="87">
        <f>167091393+14710001</f>
        <v>181801394</v>
      </c>
      <c r="D6" s="16" t="s">
        <v>48</v>
      </c>
    </row>
    <row r="7" spans="1:4">
      <c r="A7" s="87">
        <v>45565</v>
      </c>
      <c r="B7" s="87">
        <v>434728318</v>
      </c>
      <c r="C7" s="87">
        <f>173243215+14600954</f>
        <v>187844169</v>
      </c>
      <c r="D7" s="16" t="s">
        <v>48</v>
      </c>
    </row>
    <row r="8" spans="1:4">
      <c r="A8" s="87">
        <v>45473</v>
      </c>
      <c r="B8" s="87">
        <v>422257918</v>
      </c>
      <c r="C8" s="87">
        <f>186325396+13988978</f>
        <v>200314374</v>
      </c>
      <c r="D8" s="16" t="s">
        <v>48</v>
      </c>
    </row>
    <row r="9" spans="1:4">
      <c r="A9" s="87">
        <v>45382</v>
      </c>
      <c r="B9" s="87">
        <v>393295773</v>
      </c>
      <c r="C9" s="87">
        <f>196076636+14605741</f>
        <v>210682377</v>
      </c>
      <c r="D9" s="16" t="s">
        <v>48</v>
      </c>
    </row>
    <row r="10" spans="1:4">
      <c r="A10" s="87">
        <v>45291</v>
      </c>
      <c r="B10" s="87">
        <v>352107825</v>
      </c>
      <c r="C10" s="87">
        <f>207981393+13011389</f>
        <v>220992782</v>
      </c>
      <c r="D10" s="16" t="s">
        <v>48</v>
      </c>
    </row>
    <row r="11" spans="1:4">
      <c r="A11" s="87">
        <v>45199</v>
      </c>
      <c r="B11" s="87">
        <v>365089756</v>
      </c>
      <c r="C11" s="87">
        <f>188609481+12019573</f>
        <v>200629054</v>
      </c>
      <c r="D11" s="16" t="s">
        <v>48</v>
      </c>
    </row>
    <row r="12" spans="1:4">
      <c r="A12" s="87">
        <v>45107</v>
      </c>
      <c r="B12" s="87">
        <v>367940537</v>
      </c>
      <c r="C12" s="87">
        <f>192992098+9732651</f>
        <v>202724749</v>
      </c>
      <c r="D12" s="16" t="s">
        <v>48</v>
      </c>
    </row>
    <row r="13" spans="1:4">
      <c r="A13" s="87">
        <v>45016</v>
      </c>
      <c r="B13" s="87">
        <v>360780594</v>
      </c>
      <c r="C13" s="87">
        <f>184160396+11255759</f>
        <v>195416155</v>
      </c>
      <c r="D13" s="16" t="s">
        <v>48</v>
      </c>
    </row>
    <row r="14" spans="1:4">
      <c r="A14" s="87">
        <v>44926</v>
      </c>
      <c r="B14" s="87">
        <v>351549468</v>
      </c>
      <c r="C14" s="87">
        <f>202039260+11335960</f>
        <v>213375220</v>
      </c>
      <c r="D14" s="16" t="s">
        <v>48</v>
      </c>
    </row>
    <row r="15" spans="1:4">
      <c r="A15" s="87">
        <v>44834</v>
      </c>
      <c r="B15" s="87">
        <v>378822738</v>
      </c>
      <c r="C15" s="87">
        <f>165756055+11188275</f>
        <v>176944330</v>
      </c>
      <c r="D15" s="16" t="s">
        <v>48</v>
      </c>
    </row>
    <row r="16" spans="1:4">
      <c r="A16" s="87">
        <v>44742</v>
      </c>
      <c r="B16" s="87">
        <v>388505310</v>
      </c>
      <c r="C16" s="87">
        <f>155750346+8701186</f>
        <v>164451532</v>
      </c>
      <c r="D16" s="16" t="s">
        <v>48</v>
      </c>
    </row>
    <row r="17" spans="1:4">
      <c r="A17" s="87">
        <v>44651</v>
      </c>
      <c r="B17" s="87">
        <v>362266074</v>
      </c>
      <c r="C17" s="87">
        <f>136718599+8907383</f>
        <v>145625982</v>
      </c>
      <c r="D17" s="16" t="s">
        <v>48</v>
      </c>
    </row>
    <row r="18" spans="1:4">
      <c r="A18" s="87">
        <v>46022</v>
      </c>
      <c r="B18" s="87">
        <v>463255347</v>
      </c>
      <c r="C18" s="87">
        <f>146157115+26681915</f>
        <v>172839030</v>
      </c>
      <c r="D18" s="16" t="s">
        <v>49</v>
      </c>
    </row>
    <row r="19" spans="1:4">
      <c r="A19" s="87">
        <v>45930</v>
      </c>
      <c r="B19" s="87">
        <v>486448862</v>
      </c>
      <c r="C19" s="87">
        <f>122857648+30181467</f>
        <v>153039115</v>
      </c>
      <c r="D19" s="16" t="s">
        <v>49</v>
      </c>
    </row>
    <row r="20" spans="1:4">
      <c r="A20" s="87">
        <v>45838</v>
      </c>
      <c r="B20" s="87">
        <v>498978328</v>
      </c>
      <c r="C20" s="87">
        <f>133334715+26362369</f>
        <v>159697084</v>
      </c>
      <c r="D20" s="16" t="s">
        <v>49</v>
      </c>
    </row>
    <row r="21" spans="1:4">
      <c r="A21" s="87">
        <v>45747</v>
      </c>
      <c r="B21" s="87">
        <v>465782952</v>
      </c>
      <c r="C21" s="87">
        <f>133513887+27097531</f>
        <v>160611418</v>
      </c>
      <c r="D21" s="16" t="s">
        <v>49</v>
      </c>
    </row>
    <row r="22" spans="1:4">
      <c r="A22" s="87">
        <v>45657</v>
      </c>
      <c r="B22" s="87">
        <v>418200767</v>
      </c>
      <c r="C22" s="87">
        <f>130092840+31468500</f>
        <v>161561340</v>
      </c>
      <c r="D22" s="16" t="s">
        <v>49</v>
      </c>
    </row>
    <row r="23" spans="1:4">
      <c r="A23" s="87">
        <v>45565</v>
      </c>
      <c r="B23" s="87">
        <v>448051498</v>
      </c>
      <c r="C23" s="87">
        <f>154042028+32101102</f>
        <v>186143130</v>
      </c>
      <c r="D23" s="16" t="s">
        <v>49</v>
      </c>
    </row>
    <row r="24" spans="1:4">
      <c r="A24" s="87">
        <v>45473</v>
      </c>
      <c r="B24" s="87">
        <v>468522222</v>
      </c>
      <c r="C24" s="87">
        <f>131780644+32389899</f>
        <v>164170543</v>
      </c>
      <c r="D24" s="16" t="s">
        <v>49</v>
      </c>
    </row>
    <row r="25" spans="1:4">
      <c r="A25" s="87">
        <v>45382</v>
      </c>
      <c r="B25" s="87">
        <v>500886049</v>
      </c>
      <c r="C25" s="87">
        <f>129511012+25863832</f>
        <v>155374844</v>
      </c>
      <c r="D25" s="16" t="s">
        <v>49</v>
      </c>
    </row>
    <row r="26" spans="1:4">
      <c r="A26" s="87">
        <v>45291</v>
      </c>
      <c r="B26" s="87">
        <v>447507213</v>
      </c>
      <c r="C26" s="87">
        <f>120018607+22525242</f>
        <v>142543849</v>
      </c>
      <c r="D26" s="16" t="s">
        <v>49</v>
      </c>
    </row>
    <row r="27" spans="1:4">
      <c r="A27" s="87">
        <v>45199</v>
      </c>
      <c r="B27" s="87">
        <v>455081883</v>
      </c>
      <c r="C27" s="87">
        <f>145785948+23900730</f>
        <v>169686678</v>
      </c>
      <c r="D27" s="16" t="s">
        <v>49</v>
      </c>
    </row>
    <row r="28" spans="1:4">
      <c r="A28" s="87">
        <v>45107</v>
      </c>
      <c r="B28" s="87">
        <v>446456756</v>
      </c>
      <c r="C28" s="87">
        <f>134118291+21634152</f>
        <v>155752443</v>
      </c>
      <c r="D28" s="16" t="s">
        <v>49</v>
      </c>
    </row>
    <row r="29" spans="1:4">
      <c r="A29" s="87">
        <v>45016</v>
      </c>
      <c r="B29" s="87">
        <v>469162286</v>
      </c>
      <c r="C29" s="87">
        <f>120036762+21591966</f>
        <v>141628728</v>
      </c>
      <c r="D29" s="16" t="s">
        <v>49</v>
      </c>
    </row>
    <row r="30" spans="1:4">
      <c r="A30" s="87">
        <v>44926</v>
      </c>
      <c r="B30" s="87">
        <v>427245252</v>
      </c>
      <c r="C30" s="87">
        <f>116646379+24391445</f>
        <v>141037824</v>
      </c>
      <c r="D30" s="16" t="s">
        <v>49</v>
      </c>
    </row>
    <row r="31" spans="1:4">
      <c r="A31" s="87">
        <v>44834</v>
      </c>
      <c r="B31" s="87">
        <v>437045308</v>
      </c>
      <c r="C31" s="87">
        <f>137091014+22750122</f>
        <v>159841136</v>
      </c>
      <c r="D31" s="16" t="s">
        <v>49</v>
      </c>
    </row>
    <row r="32" spans="1:4">
      <c r="A32" s="87">
        <v>44742</v>
      </c>
      <c r="B32" s="87">
        <v>464741572</v>
      </c>
      <c r="C32" s="87">
        <f>104212295+24057562</f>
        <v>128269857</v>
      </c>
      <c r="D32" s="16" t="s">
        <v>49</v>
      </c>
    </row>
    <row r="33" spans="1:4">
      <c r="A33" s="87">
        <v>44651</v>
      </c>
      <c r="B33" s="87">
        <v>476981196</v>
      </c>
      <c r="C33" s="87">
        <f>108945824+19036336</f>
        <v>127982160</v>
      </c>
      <c r="D33" s="16" t="s">
        <v>49</v>
      </c>
    </row>
    <row r="34" spans="1:4">
      <c r="A34" s="87">
        <v>46022</v>
      </c>
      <c r="B34" s="87">
        <v>94465228</v>
      </c>
      <c r="C34" s="87">
        <f>13463935+117591129+1853638</f>
        <v>132908702</v>
      </c>
      <c r="D34" s="16" t="s">
        <v>50</v>
      </c>
    </row>
    <row r="35" spans="1:4">
      <c r="A35" s="87">
        <v>45930</v>
      </c>
      <c r="B35" s="87">
        <v>109871800</v>
      </c>
      <c r="C35" s="87">
        <f>12012127+110630133+2108910</f>
        <v>124751170</v>
      </c>
      <c r="D35" s="16" t="s">
        <v>50</v>
      </c>
    </row>
    <row r="36" spans="1:4">
      <c r="A36" s="87">
        <v>45838</v>
      </c>
      <c r="B36" s="87">
        <v>102788153</v>
      </c>
      <c r="C36" s="87">
        <f>11813249+113424363+1918479</f>
        <v>127156091</v>
      </c>
      <c r="D36" s="16" t="s">
        <v>50</v>
      </c>
    </row>
    <row r="37" spans="1:4">
      <c r="A37" s="87">
        <v>45747</v>
      </c>
      <c r="B37" s="87">
        <v>103874915</v>
      </c>
      <c r="C37" s="87">
        <f>12025058+100914887+2023904</f>
        <v>114963849</v>
      </c>
      <c r="D37" s="16" t="s">
        <v>50</v>
      </c>
    </row>
    <row r="38" spans="1:4">
      <c r="A38" s="87">
        <v>45657</v>
      </c>
      <c r="B38" s="87">
        <v>95253337</v>
      </c>
      <c r="C38" s="87">
        <f>11643387+101805095+1842831</f>
        <v>115291313</v>
      </c>
      <c r="D38" s="16" t="s">
        <v>50</v>
      </c>
    </row>
    <row r="39" spans="1:4">
      <c r="A39" s="87">
        <v>45565</v>
      </c>
      <c r="B39" s="87">
        <v>94447750</v>
      </c>
      <c r="C39" s="87">
        <f>11128525+101681701+1881991</f>
        <v>114692217</v>
      </c>
      <c r="D39" s="16" t="s">
        <v>50</v>
      </c>
    </row>
    <row r="40" spans="1:4">
      <c r="A40" s="87">
        <v>45473</v>
      </c>
      <c r="B40" s="87">
        <v>91940335</v>
      </c>
      <c r="C40" s="87">
        <f>10144030+101503276+1768954</f>
        <v>113416260</v>
      </c>
      <c r="D40" s="16" t="s">
        <v>50</v>
      </c>
    </row>
    <row r="41" spans="1:4">
      <c r="A41" s="87">
        <v>45382</v>
      </c>
      <c r="B41" s="87">
        <v>84224586</v>
      </c>
      <c r="C41" s="87">
        <f>9774125+93216293+1772833</f>
        <v>104763251</v>
      </c>
      <c r="D41" s="16" t="s">
        <v>50</v>
      </c>
    </row>
    <row r="42" spans="1:4">
      <c r="A42" s="87">
        <v>45291</v>
      </c>
      <c r="B42" s="87">
        <v>78955995</v>
      </c>
      <c r="C42" s="87">
        <f>9833634+97348367+1762585</f>
        <v>108944586</v>
      </c>
      <c r="D42" s="16" t="s">
        <v>50</v>
      </c>
    </row>
    <row r="43" spans="1:4">
      <c r="A43" s="87">
        <v>45199</v>
      </c>
      <c r="B43" s="87">
        <v>79286776</v>
      </c>
      <c r="C43" s="87">
        <f>9073975+90244908+1627509</f>
        <v>100946392</v>
      </c>
      <c r="D43" s="16" t="s">
        <v>50</v>
      </c>
    </row>
    <row r="44" spans="1:4">
      <c r="A44" s="87">
        <v>45107</v>
      </c>
      <c r="B44" s="87">
        <v>77031916</v>
      </c>
      <c r="C44" s="87">
        <f>8637070+90705283+1499509</f>
        <v>100841862</v>
      </c>
      <c r="D44" s="16" t="s">
        <v>50</v>
      </c>
    </row>
    <row r="45" spans="1:4">
      <c r="A45" s="87">
        <v>45016</v>
      </c>
      <c r="B45" s="87">
        <v>75398219</v>
      </c>
      <c r="C45" s="87">
        <f>7859412+75244148+1446673</f>
        <v>84550233</v>
      </c>
      <c r="D45" s="16" t="s">
        <v>50</v>
      </c>
    </row>
    <row r="46" spans="1:4">
      <c r="A46" s="87">
        <v>44926</v>
      </c>
      <c r="B46" s="87">
        <v>73887522</v>
      </c>
      <c r="C46" s="87">
        <f>7093170+62679182+1508616</f>
        <v>71280968</v>
      </c>
      <c r="D46" s="16" t="s">
        <v>50</v>
      </c>
    </row>
    <row r="47" spans="1:4">
      <c r="A47" s="87">
        <v>44834</v>
      </c>
      <c r="B47" s="87">
        <v>78151337</v>
      </c>
      <c r="C47" s="87">
        <f>6940752+45602936+1353300</f>
        <v>53896988</v>
      </c>
      <c r="D47" s="16" t="s">
        <v>50</v>
      </c>
    </row>
    <row r="48" spans="1:4">
      <c r="A48" s="87">
        <v>44742</v>
      </c>
      <c r="B48" s="87">
        <v>83830518</v>
      </c>
      <c r="C48" s="87">
        <f>7262489+37951638+1331317</f>
        <v>46545444</v>
      </c>
      <c r="D48" s="16" t="s">
        <v>50</v>
      </c>
    </row>
    <row r="49" spans="1:4">
      <c r="A49" s="87">
        <v>44651</v>
      </c>
      <c r="B49" s="87">
        <v>76665311</v>
      </c>
      <c r="C49" s="87">
        <f>10065520+40011880+1292514</f>
        <v>51369914</v>
      </c>
      <c r="D49" s="16" t="s">
        <v>50</v>
      </c>
    </row>
  </sheetData>
  <pageMargins left="0.7" right="0.7" top="0.75" bottom="0.75" header="0.3" footer="0.3"/>
  <pageSetup paperSize="9" orientation="portrait" copies="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B974-92C7-4314-91B9-A4142A2D9843}">
  <dimension ref="A1:K5"/>
  <sheetViews>
    <sheetView rightToLeft="1" workbookViewId="0">
      <selection activeCell="K1" sqref="K1"/>
    </sheetView>
  </sheetViews>
  <sheetFormatPr defaultRowHeight="13.5"/>
  <cols>
    <col min="1" max="1" width="21.1875" style="1" customWidth="1"/>
    <col min="2" max="2" width="12.8125" style="3" bestFit="1" customWidth="1"/>
    <col min="3" max="3" width="10.6875" style="3" bestFit="1" customWidth="1"/>
    <col min="4" max="4" width="17.5" style="3" bestFit="1" customWidth="1"/>
    <col min="5" max="5" width="14.75" style="3" bestFit="1" customWidth="1"/>
    <col min="6" max="6" width="15.5" style="3" bestFit="1" customWidth="1"/>
    <col min="7" max="7" width="19.5625" style="3" bestFit="1" customWidth="1"/>
    <col min="8" max="8" width="20.75" style="3" bestFit="1" customWidth="1"/>
    <col min="9" max="9" width="17.375" style="3" bestFit="1" customWidth="1"/>
    <col min="10" max="10" width="17.5" style="3" customWidth="1"/>
    <col min="11" max="11" width="17.25" customWidth="1"/>
  </cols>
  <sheetData>
    <row r="1" spans="1:11" s="2" customFormat="1" ht="27">
      <c r="A1" s="43" t="s">
        <v>0</v>
      </c>
      <c r="B1" s="42" t="s">
        <v>28</v>
      </c>
      <c r="C1" s="42" t="s">
        <v>29</v>
      </c>
      <c r="D1" s="42" t="s">
        <v>30</v>
      </c>
      <c r="E1" s="42" t="s">
        <v>31</v>
      </c>
      <c r="F1" s="42" t="s">
        <v>32</v>
      </c>
      <c r="G1" s="42" t="s">
        <v>33</v>
      </c>
      <c r="H1" s="42" t="s">
        <v>34</v>
      </c>
      <c r="I1" s="42" t="s">
        <v>35</v>
      </c>
      <c r="J1" s="42" t="s">
        <v>36</v>
      </c>
      <c r="K1" s="85"/>
    </row>
    <row r="2" spans="1:11">
      <c r="A2" s="1">
        <v>44592</v>
      </c>
      <c r="B2" s="3">
        <v>13436.303</v>
      </c>
      <c r="C2" s="3">
        <v>11025.888000000001</v>
      </c>
      <c r="D2" s="3">
        <v>8680.0210000000006</v>
      </c>
      <c r="E2" s="3">
        <v>6346.741</v>
      </c>
      <c r="F2" s="3">
        <v>564.428</v>
      </c>
      <c r="G2" s="3">
        <v>814.16700000000003</v>
      </c>
      <c r="H2" s="3">
        <v>410686.16700000002</v>
      </c>
      <c r="I2" s="3">
        <v>451553.71500000003</v>
      </c>
      <c r="J2" s="3">
        <v>23067.208999999999</v>
      </c>
    </row>
    <row r="3" spans="1:11">
      <c r="A3" s="1">
        <v>44957</v>
      </c>
      <c r="B3" s="3">
        <v>10792.058000000001</v>
      </c>
      <c r="C3" s="3">
        <v>11310.993</v>
      </c>
      <c r="D3" s="3">
        <v>7889.4369999999999</v>
      </c>
      <c r="E3" s="3">
        <v>7461.5609999999997</v>
      </c>
      <c r="F3" s="3">
        <v>510.12599999999998</v>
      </c>
      <c r="G3" s="3">
        <v>918.197</v>
      </c>
      <c r="H3" s="3">
        <v>402947.26500000001</v>
      </c>
      <c r="I3" s="3">
        <v>441829.63699999999</v>
      </c>
      <c r="J3" s="3">
        <v>27066.405999999999</v>
      </c>
    </row>
    <row r="4" spans="1:11">
      <c r="A4" s="1">
        <v>45322</v>
      </c>
      <c r="B4" s="3">
        <v>8925.9850000000006</v>
      </c>
      <c r="C4" s="3">
        <v>11716.790999999999</v>
      </c>
      <c r="D4" s="3">
        <v>8516.9560000000001</v>
      </c>
      <c r="E4" s="3">
        <v>8177.5410000000002</v>
      </c>
      <c r="F4" s="3">
        <v>471.173</v>
      </c>
      <c r="G4" s="3">
        <v>992.46299999999997</v>
      </c>
      <c r="H4" s="3">
        <v>432185.06599999999</v>
      </c>
      <c r="I4" s="3">
        <v>470985.97499999998</v>
      </c>
      <c r="J4" s="3">
        <v>31365.748</v>
      </c>
    </row>
    <row r="5" spans="1:11">
      <c r="A5" s="1">
        <v>45688</v>
      </c>
      <c r="B5" s="3">
        <v>7843.1490000000003</v>
      </c>
      <c r="C5" s="3">
        <v>12681.263000000001</v>
      </c>
      <c r="D5" s="3">
        <v>10380.239</v>
      </c>
      <c r="E5" s="3">
        <v>8008.0240000000003</v>
      </c>
      <c r="F5" s="3">
        <v>478.94499999999999</v>
      </c>
      <c r="G5" s="3">
        <v>1017.025</v>
      </c>
      <c r="H5" s="3">
        <v>436307.46299999999</v>
      </c>
      <c r="I5" s="3">
        <v>476716.10800000001</v>
      </c>
      <c r="J5" s="3">
        <v>34505.951999999997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740E-3988-4269-93CA-1528469BAD22}">
  <dimension ref="A1:I49"/>
  <sheetViews>
    <sheetView rightToLeft="1" workbookViewId="0">
      <pane ySplit="1" topLeftCell="A2" activePane="bottomLeft" state="frozen"/>
      <selection pane="bottomLeft" sqref="A1:I1"/>
    </sheetView>
  </sheetViews>
  <sheetFormatPr defaultRowHeight="13.5"/>
  <cols>
    <col min="1" max="1" width="9.1875" style="1" bestFit="1" customWidth="1"/>
    <col min="2" max="2" width="9.8125" bestFit="1" customWidth="1"/>
    <col min="3" max="3" width="12.75" bestFit="1" customWidth="1"/>
    <col min="4" max="4" width="10.875" bestFit="1" customWidth="1"/>
    <col min="5" max="6" width="14.0625" bestFit="1" customWidth="1"/>
    <col min="7" max="9" width="15.0625" bestFit="1" customWidth="1"/>
  </cols>
  <sheetData>
    <row r="1" spans="1:9" s="48" customFormat="1">
      <c r="A1" s="44" t="s">
        <v>0</v>
      </c>
      <c r="B1" s="45" t="s">
        <v>37</v>
      </c>
      <c r="C1" s="45" t="s">
        <v>38</v>
      </c>
      <c r="D1" s="45" t="s">
        <v>39</v>
      </c>
      <c r="E1" s="46" t="s">
        <v>40</v>
      </c>
      <c r="F1" s="47" t="s">
        <v>41</v>
      </c>
      <c r="G1" s="47" t="s">
        <v>42</v>
      </c>
      <c r="H1" s="48" t="s">
        <v>43</v>
      </c>
      <c r="I1" s="48" t="s">
        <v>44</v>
      </c>
    </row>
    <row r="2" spans="1:9">
      <c r="A2" s="49">
        <v>44592</v>
      </c>
      <c r="B2" s="50">
        <v>1</v>
      </c>
      <c r="C2" s="50">
        <v>0.5</v>
      </c>
      <c r="D2" s="50">
        <v>0.93664387096774204</v>
      </c>
      <c r="E2" s="50">
        <v>0.50507999999999997</v>
      </c>
      <c r="F2" s="50">
        <v>0.52881</v>
      </c>
      <c r="G2" s="50">
        <v>0.55876999999999999</v>
      </c>
      <c r="H2" s="50">
        <v>0.58875</v>
      </c>
      <c r="I2" s="50">
        <v>0.61250000000000004</v>
      </c>
    </row>
    <row r="3" spans="1:9">
      <c r="A3" s="49">
        <v>44620</v>
      </c>
      <c r="B3" s="50">
        <v>1</v>
      </c>
      <c r="C3" s="50">
        <v>0.5</v>
      </c>
      <c r="D3" s="50">
        <v>1.1986632142857101</v>
      </c>
      <c r="E3" s="50">
        <v>0.51768000000000003</v>
      </c>
      <c r="F3" s="50">
        <v>0.54254999999999998</v>
      </c>
      <c r="G3" s="50">
        <v>0.57252000000000003</v>
      </c>
      <c r="H3" s="50">
        <v>0.60250000000000004</v>
      </c>
      <c r="I3" s="50">
        <v>0.62749999999999995</v>
      </c>
    </row>
    <row r="4" spans="1:9">
      <c r="A4" s="49">
        <v>44651</v>
      </c>
      <c r="B4" s="50">
        <v>1.25</v>
      </c>
      <c r="C4" s="50">
        <v>0.75</v>
      </c>
      <c r="D4" s="50">
        <v>1.9585332258064501</v>
      </c>
      <c r="E4" s="50">
        <v>0.62617</v>
      </c>
      <c r="F4" s="50">
        <v>0.67005999999999999</v>
      </c>
      <c r="G4" s="50">
        <v>0.71901999999999999</v>
      </c>
      <c r="H4" s="50">
        <v>0.78700000000000003</v>
      </c>
      <c r="I4" s="50">
        <v>0.83601000000000003</v>
      </c>
    </row>
    <row r="5" spans="1:9">
      <c r="A5" s="49">
        <v>44681</v>
      </c>
      <c r="B5" s="50">
        <v>1.25</v>
      </c>
      <c r="C5" s="50">
        <v>0.75</v>
      </c>
      <c r="D5" s="50">
        <v>2.3675063333333299</v>
      </c>
      <c r="E5" s="50">
        <v>0.77254</v>
      </c>
      <c r="F5" s="50">
        <v>0.82504999999999995</v>
      </c>
      <c r="G5" s="50">
        <v>0.88127999999999995</v>
      </c>
      <c r="H5" s="50">
        <v>0.98751</v>
      </c>
      <c r="I5" s="50">
        <v>1.0462499999999999</v>
      </c>
    </row>
    <row r="6" spans="1:9">
      <c r="A6" s="49">
        <v>44712</v>
      </c>
      <c r="B6" s="50">
        <v>1.75</v>
      </c>
      <c r="C6" s="50">
        <v>1.25</v>
      </c>
      <c r="D6" s="50">
        <v>2.6600758064516099</v>
      </c>
      <c r="E6" s="50">
        <v>1.27678</v>
      </c>
      <c r="F6" s="50">
        <v>1.3167199999999999</v>
      </c>
      <c r="G6" s="50">
        <v>1.3766700000000001</v>
      </c>
      <c r="H6" s="50">
        <v>1.5000199999999999</v>
      </c>
      <c r="I6" s="50">
        <v>1.57002</v>
      </c>
    </row>
    <row r="7" spans="1:9">
      <c r="A7" s="49">
        <v>44742</v>
      </c>
      <c r="B7" s="50">
        <v>2.25</v>
      </c>
      <c r="C7" s="50">
        <v>1.75</v>
      </c>
      <c r="D7" s="50">
        <v>3.1162359999999998</v>
      </c>
      <c r="E7" s="50">
        <v>1.49424</v>
      </c>
      <c r="F7" s="50">
        <v>1.534</v>
      </c>
      <c r="G7" s="50">
        <v>1.5940000000000001</v>
      </c>
      <c r="H7" s="50">
        <v>1.72801</v>
      </c>
      <c r="I7" s="50">
        <v>1.79802</v>
      </c>
    </row>
    <row r="8" spans="1:9">
      <c r="A8" s="49">
        <v>44773</v>
      </c>
      <c r="B8" s="50">
        <v>3</v>
      </c>
      <c r="C8" s="50">
        <v>2.5</v>
      </c>
      <c r="D8" s="50">
        <v>2.9000083870000002</v>
      </c>
      <c r="E8" s="50">
        <v>1.7827500000000001</v>
      </c>
      <c r="F8" s="50">
        <v>1.8150299999999999</v>
      </c>
      <c r="G8" s="50">
        <v>1.8750100000000001</v>
      </c>
      <c r="H8" s="50">
        <v>2.0150199999999998</v>
      </c>
      <c r="I8" s="50">
        <v>2.0850200000000001</v>
      </c>
    </row>
    <row r="9" spans="1:9">
      <c r="A9" s="49">
        <v>44804</v>
      </c>
      <c r="B9" s="50">
        <v>3</v>
      </c>
      <c r="C9" s="50">
        <v>2.5</v>
      </c>
      <c r="D9" s="50">
        <v>3.028</v>
      </c>
      <c r="E9" s="50">
        <v>2.5401799999999999</v>
      </c>
      <c r="F9" s="50">
        <v>2.59009</v>
      </c>
      <c r="G9" s="50">
        <v>2.65802</v>
      </c>
      <c r="H9" s="50">
        <v>2.7620200000000001</v>
      </c>
      <c r="I9" s="50">
        <v>2.84402</v>
      </c>
    </row>
    <row r="10" spans="1:9">
      <c r="A10" s="49">
        <v>44834</v>
      </c>
      <c r="B10" s="50">
        <v>3.75</v>
      </c>
      <c r="C10" s="50">
        <v>3.25</v>
      </c>
      <c r="D10" s="50">
        <v>3.49454933333333</v>
      </c>
      <c r="E10" s="50">
        <v>2.9327399999999999</v>
      </c>
      <c r="F10" s="50">
        <v>3.0275699999999999</v>
      </c>
      <c r="G10" s="50">
        <v>3.5975199999999998</v>
      </c>
      <c r="H10" s="50">
        <v>3.8875099999999998</v>
      </c>
      <c r="I10" s="50">
        <v>4.1400100000000002</v>
      </c>
    </row>
    <row r="11" spans="1:9">
      <c r="A11" s="49">
        <v>44865</v>
      </c>
      <c r="B11" s="50">
        <v>3.75</v>
      </c>
      <c r="C11" s="50">
        <v>3.25</v>
      </c>
      <c r="D11" s="50">
        <v>4.9728009677419296</v>
      </c>
      <c r="E11" s="50">
        <v>3.58</v>
      </c>
      <c r="F11" s="50">
        <v>3.8174999999999999</v>
      </c>
      <c r="G11" s="50">
        <v>4.5250000000000004</v>
      </c>
      <c r="H11" s="50">
        <v>5.0549999999999997</v>
      </c>
      <c r="I11" s="50">
        <v>5.68</v>
      </c>
    </row>
    <row r="12" spans="1:9">
      <c r="A12" s="49">
        <v>44895</v>
      </c>
      <c r="B12" s="50">
        <v>4.5</v>
      </c>
      <c r="C12" s="50">
        <v>4</v>
      </c>
      <c r="D12" s="50">
        <v>5.5898246666666598</v>
      </c>
      <c r="E12" s="50">
        <v>3.9340000000000002</v>
      </c>
      <c r="F12" s="50">
        <v>4.0940000000000003</v>
      </c>
      <c r="G12" s="50">
        <v>4.718</v>
      </c>
      <c r="H12" s="50">
        <v>5.1820000000000004</v>
      </c>
      <c r="I12" s="50">
        <v>5.6</v>
      </c>
    </row>
    <row r="13" spans="1:9">
      <c r="A13" s="49">
        <v>44926</v>
      </c>
      <c r="B13" s="50">
        <v>5</v>
      </c>
      <c r="C13" s="50">
        <v>4.5</v>
      </c>
      <c r="D13" s="50">
        <v>5.2821129032258103</v>
      </c>
      <c r="E13" s="50">
        <v>4.3949999999999996</v>
      </c>
      <c r="F13" s="50">
        <v>4.5175000000000001</v>
      </c>
      <c r="G13" s="50">
        <v>5</v>
      </c>
      <c r="H13" s="50">
        <v>5.3875000000000002</v>
      </c>
      <c r="I13" s="50">
        <v>5.67</v>
      </c>
    </row>
    <row r="14" spans="1:9">
      <c r="A14" s="49">
        <v>44957</v>
      </c>
      <c r="B14" s="50">
        <v>5</v>
      </c>
      <c r="C14" s="50">
        <v>4.5</v>
      </c>
      <c r="D14" s="50">
        <v>5.38134032258065</v>
      </c>
      <c r="E14" s="50">
        <v>4.67</v>
      </c>
      <c r="F14" s="50">
        <v>4.72</v>
      </c>
      <c r="G14" s="50">
        <v>5.1050000000000004</v>
      </c>
      <c r="H14" s="50">
        <v>5.45</v>
      </c>
      <c r="I14" s="50">
        <v>5.6924999999999999</v>
      </c>
    </row>
    <row r="15" spans="1:9">
      <c r="A15" s="49">
        <v>44985</v>
      </c>
      <c r="B15" s="50">
        <v>5.25</v>
      </c>
      <c r="C15" s="50">
        <v>4.75</v>
      </c>
      <c r="D15" s="50">
        <v>5.5282992857142901</v>
      </c>
      <c r="E15" s="50">
        <v>4.7233299999999998</v>
      </c>
      <c r="F15" s="50">
        <v>4.7766700000000002</v>
      </c>
      <c r="G15" s="50">
        <v>5.0633299999999997</v>
      </c>
      <c r="H15" s="50">
        <v>5.35</v>
      </c>
      <c r="I15" s="50">
        <v>5.5833300000000001</v>
      </c>
    </row>
    <row r="16" spans="1:9">
      <c r="A16" s="49">
        <v>45016</v>
      </c>
      <c r="B16" s="50">
        <v>5.5</v>
      </c>
      <c r="C16" s="50">
        <v>5</v>
      </c>
      <c r="D16" s="50">
        <v>5.5750112903225801</v>
      </c>
      <c r="E16" s="50">
        <v>4.8280000000000003</v>
      </c>
      <c r="F16" s="50">
        <v>4.88</v>
      </c>
      <c r="G16" s="50">
        <v>5.0659999999999998</v>
      </c>
      <c r="H16" s="50">
        <v>5.27</v>
      </c>
      <c r="I16" s="50">
        <v>5.4480000000000004</v>
      </c>
    </row>
    <row r="17" spans="1:9">
      <c r="A17" s="49">
        <v>45046</v>
      </c>
      <c r="B17" s="50">
        <v>5.5</v>
      </c>
      <c r="C17" s="50">
        <v>5</v>
      </c>
      <c r="D17" s="50">
        <v>5.7260499999999999</v>
      </c>
      <c r="E17" s="50">
        <v>5.01</v>
      </c>
      <c r="F17" s="50">
        <v>5.03</v>
      </c>
      <c r="G17" s="50">
        <v>5.0999999999999996</v>
      </c>
      <c r="H17" s="50">
        <v>5.2125000000000004</v>
      </c>
      <c r="I17" s="50">
        <v>5.2575000000000003</v>
      </c>
    </row>
    <row r="18" spans="1:9">
      <c r="A18" s="49">
        <v>45077</v>
      </c>
      <c r="B18" s="50">
        <v>5.75</v>
      </c>
      <c r="C18" s="50">
        <v>5.25</v>
      </c>
      <c r="D18" s="50">
        <v>5.8289167741935497</v>
      </c>
      <c r="E18" s="50">
        <v>5.2119999999999997</v>
      </c>
      <c r="F18" s="50">
        <v>5.234</v>
      </c>
      <c r="G18" s="50">
        <v>5.2880000000000003</v>
      </c>
      <c r="H18" s="50">
        <v>5.3460000000000001</v>
      </c>
      <c r="I18" s="50">
        <v>5.3739999999999997</v>
      </c>
    </row>
    <row r="19" spans="1:9">
      <c r="A19" s="49">
        <v>45107</v>
      </c>
      <c r="B19" s="50">
        <v>5.75</v>
      </c>
      <c r="C19" s="50">
        <v>5.25</v>
      </c>
      <c r="D19" s="50">
        <v>5.9353259999999999</v>
      </c>
      <c r="E19" s="50">
        <v>5.26</v>
      </c>
      <c r="F19" s="50">
        <v>5.28</v>
      </c>
      <c r="G19" s="50">
        <v>5.3366699999999998</v>
      </c>
      <c r="H19" s="50">
        <v>5.3933299999999997</v>
      </c>
      <c r="I19" s="50">
        <v>5.41</v>
      </c>
    </row>
    <row r="20" spans="1:9">
      <c r="A20" s="49">
        <v>45138</v>
      </c>
      <c r="B20" s="50">
        <v>6</v>
      </c>
      <c r="C20" s="50">
        <v>5.5</v>
      </c>
      <c r="D20" s="50">
        <v>5.9543603225806399</v>
      </c>
      <c r="E20" s="50">
        <v>5.29</v>
      </c>
      <c r="F20" s="50">
        <v>5.3624999999999998</v>
      </c>
      <c r="G20" s="50">
        <v>5.49</v>
      </c>
      <c r="H20" s="50">
        <v>5.6174999999999997</v>
      </c>
      <c r="I20" s="50">
        <v>5.6574999999999998</v>
      </c>
    </row>
    <row r="21" spans="1:9">
      <c r="A21" s="49">
        <v>45169</v>
      </c>
      <c r="B21" s="50">
        <v>6</v>
      </c>
      <c r="C21" s="50">
        <v>5.5</v>
      </c>
      <c r="D21" s="50">
        <v>6.09334347826087</v>
      </c>
      <c r="E21" s="50">
        <v>5.52</v>
      </c>
      <c r="F21" s="50">
        <v>5.5540000000000003</v>
      </c>
      <c r="G21" s="50">
        <v>5.6559999999999997</v>
      </c>
      <c r="H21" s="50">
        <v>5.78</v>
      </c>
      <c r="I21" s="50">
        <v>5.8280000000000003</v>
      </c>
    </row>
    <row r="22" spans="1:9">
      <c r="A22" s="49">
        <v>45199</v>
      </c>
      <c r="B22" s="50">
        <v>6</v>
      </c>
      <c r="C22" s="50">
        <v>5.5</v>
      </c>
      <c r="D22" s="50">
        <v>6.2191047619047604</v>
      </c>
      <c r="E22" s="50">
        <v>5.52</v>
      </c>
      <c r="F22" s="50">
        <v>5.5575000000000001</v>
      </c>
      <c r="G22" s="50">
        <v>5.6574999999999998</v>
      </c>
      <c r="H22" s="50">
        <v>5.8025000000000002</v>
      </c>
      <c r="I22" s="50">
        <v>5.8449999999999998</v>
      </c>
    </row>
    <row r="23" spans="1:9">
      <c r="A23" s="49">
        <v>45230</v>
      </c>
      <c r="B23" s="50">
        <v>6</v>
      </c>
      <c r="C23" s="50">
        <v>5.5</v>
      </c>
      <c r="D23" s="50">
        <v>6.2829354545454601</v>
      </c>
      <c r="E23" s="50">
        <v>5.52</v>
      </c>
      <c r="F23" s="50">
        <v>5.5525000000000002</v>
      </c>
      <c r="G23" s="50">
        <v>5.6174999999999997</v>
      </c>
      <c r="H23" s="50">
        <v>5.7149999999999999</v>
      </c>
      <c r="I23" s="50">
        <v>5.7525000000000004</v>
      </c>
    </row>
    <row r="24" spans="1:9">
      <c r="A24" s="49">
        <v>45260</v>
      </c>
      <c r="B24" s="50">
        <v>6</v>
      </c>
      <c r="C24" s="50">
        <v>5.5</v>
      </c>
      <c r="D24" s="50">
        <v>6.3199009090000002</v>
      </c>
      <c r="E24" s="50">
        <v>5.52</v>
      </c>
      <c r="F24" s="50">
        <v>5.5439999999999996</v>
      </c>
      <c r="G24" s="50">
        <v>5.5860000000000003</v>
      </c>
      <c r="H24" s="50">
        <v>5.6379999999999999</v>
      </c>
      <c r="I24" s="50">
        <v>5.6779999999999999</v>
      </c>
    </row>
    <row r="25" spans="1:9">
      <c r="A25" s="49">
        <v>45291</v>
      </c>
      <c r="B25" s="50">
        <v>6</v>
      </c>
      <c r="C25" s="50">
        <v>5.5</v>
      </c>
      <c r="D25" s="50">
        <v>6.3206919047619099</v>
      </c>
      <c r="E25" s="50">
        <v>5.5149999999999997</v>
      </c>
      <c r="F25" s="50">
        <v>5.5350000000000001</v>
      </c>
      <c r="G25" s="50">
        <v>5.5525000000000002</v>
      </c>
      <c r="H25" s="50">
        <v>5.5650000000000004</v>
      </c>
      <c r="I25" s="50">
        <v>5.5774999999999997</v>
      </c>
    </row>
    <row r="26" spans="1:9">
      <c r="A26" s="49">
        <v>45322</v>
      </c>
      <c r="B26" s="50">
        <v>6</v>
      </c>
      <c r="C26" s="50">
        <v>5.5</v>
      </c>
      <c r="D26" s="50">
        <v>6.2318508695652204</v>
      </c>
      <c r="E26" s="50">
        <v>5.5098000000000003</v>
      </c>
      <c r="F26" s="50">
        <v>5.5216000000000003</v>
      </c>
      <c r="G26" s="50">
        <v>5.5297999999999998</v>
      </c>
      <c r="H26" s="50">
        <v>5.5396000000000001</v>
      </c>
      <c r="I26" s="50">
        <v>5.5494000000000003</v>
      </c>
    </row>
    <row r="27" spans="1:9">
      <c r="A27" s="49">
        <v>45351</v>
      </c>
      <c r="B27" s="50">
        <v>6</v>
      </c>
      <c r="C27" s="50">
        <v>5.5</v>
      </c>
      <c r="D27" s="50">
        <v>6.2423271428571399</v>
      </c>
      <c r="E27" s="50">
        <v>5.5092499999999998</v>
      </c>
      <c r="F27" s="50">
        <v>5.5185000000000004</v>
      </c>
      <c r="G27" s="50">
        <v>5.5229999999999997</v>
      </c>
      <c r="H27" s="50">
        <v>5.5315000000000003</v>
      </c>
      <c r="I27" s="50">
        <v>5.5389999999999997</v>
      </c>
    </row>
    <row r="28" spans="1:9">
      <c r="A28" s="49">
        <v>45382</v>
      </c>
      <c r="B28" s="50">
        <v>6</v>
      </c>
      <c r="C28" s="50">
        <v>5.5</v>
      </c>
      <c r="D28" s="50">
        <v>6.2225890476190502</v>
      </c>
      <c r="E28" s="50">
        <v>5.51</v>
      </c>
      <c r="F28" s="50">
        <v>5.52</v>
      </c>
      <c r="G28" s="50">
        <v>5.5229999999999997</v>
      </c>
      <c r="H28" s="50">
        <v>5.5315000000000003</v>
      </c>
      <c r="I28" s="50">
        <v>5.5352499999999996</v>
      </c>
    </row>
    <row r="29" spans="1:9">
      <c r="A29" s="49">
        <v>45412</v>
      </c>
      <c r="B29" s="50">
        <v>6</v>
      </c>
      <c r="C29" s="50">
        <v>5.5</v>
      </c>
      <c r="D29" s="50">
        <v>6.2122381818181802</v>
      </c>
      <c r="E29" s="50">
        <v>5.5106700000000002</v>
      </c>
      <c r="F29" s="50">
        <v>5.52</v>
      </c>
      <c r="G29" s="50">
        <v>5.5233299999999996</v>
      </c>
      <c r="H29" s="50">
        <v>5.532</v>
      </c>
      <c r="I29" s="50">
        <v>5.5336699999999999</v>
      </c>
    </row>
    <row r="30" spans="1:9">
      <c r="A30" s="49">
        <v>45443</v>
      </c>
      <c r="B30" s="50">
        <v>6</v>
      </c>
      <c r="C30" s="50">
        <v>5.5</v>
      </c>
      <c r="D30" s="50">
        <v>6.2519569565217399</v>
      </c>
      <c r="E30" s="50">
        <v>5.51</v>
      </c>
      <c r="F30" s="50">
        <v>5.5179999999999998</v>
      </c>
      <c r="G30" s="50">
        <v>5.5212000000000003</v>
      </c>
      <c r="H30" s="50">
        <v>5.5330000000000004</v>
      </c>
      <c r="I30" s="50">
        <v>5.5354000000000001</v>
      </c>
    </row>
    <row r="31" spans="1:9">
      <c r="A31" s="49">
        <v>45473</v>
      </c>
      <c r="B31" s="50">
        <v>6</v>
      </c>
      <c r="C31" s="50">
        <v>5.5</v>
      </c>
      <c r="D31" s="50">
        <v>6.2675334999999999</v>
      </c>
      <c r="E31" s="50">
        <v>5.5102500000000001</v>
      </c>
      <c r="F31" s="50">
        <v>5.5170000000000003</v>
      </c>
      <c r="G31" s="50">
        <v>5.5209999999999999</v>
      </c>
      <c r="H31" s="50">
        <v>5.5317499999999997</v>
      </c>
      <c r="I31" s="50">
        <v>5.5345000000000004</v>
      </c>
    </row>
    <row r="32" spans="1:9">
      <c r="A32" s="49">
        <v>45504</v>
      </c>
      <c r="B32" s="50">
        <v>6</v>
      </c>
      <c r="C32" s="50">
        <v>5.5</v>
      </c>
      <c r="D32" s="50">
        <v>6.2146726086956496</v>
      </c>
      <c r="E32" s="50">
        <v>5.51</v>
      </c>
      <c r="F32" s="50">
        <v>5.516</v>
      </c>
      <c r="G32" s="50">
        <v>5.5195999999999996</v>
      </c>
      <c r="H32" s="50">
        <v>5.5270000000000001</v>
      </c>
      <c r="I32" s="50">
        <v>5.5284000000000004</v>
      </c>
    </row>
    <row r="33" spans="1:9">
      <c r="A33" s="49">
        <v>45535</v>
      </c>
      <c r="B33" s="50">
        <v>6</v>
      </c>
      <c r="C33" s="50">
        <v>5.5</v>
      </c>
      <c r="D33" s="50">
        <v>6.1056477272727196</v>
      </c>
      <c r="E33" s="50">
        <v>5.50875</v>
      </c>
      <c r="F33" s="50">
        <v>5.5137499999999999</v>
      </c>
      <c r="G33" s="50">
        <v>5.5147500000000003</v>
      </c>
      <c r="H33" s="50">
        <v>5.5172499999999998</v>
      </c>
      <c r="I33" s="50">
        <v>5.5182500000000001</v>
      </c>
    </row>
    <row r="34" spans="1:9">
      <c r="A34" s="49">
        <v>45565</v>
      </c>
      <c r="B34" s="50">
        <v>5.5</v>
      </c>
      <c r="C34" s="50">
        <v>5</v>
      </c>
      <c r="D34" s="50">
        <v>5.8171526666666704</v>
      </c>
      <c r="E34" s="50">
        <v>5.39175</v>
      </c>
      <c r="F34" s="50">
        <v>5.4009999999999998</v>
      </c>
      <c r="G34" s="50">
        <v>5.4029999999999996</v>
      </c>
      <c r="H34" s="50">
        <v>5.4047499999999999</v>
      </c>
      <c r="I34" s="50">
        <v>5.4065000000000003</v>
      </c>
    </row>
    <row r="35" spans="1:9">
      <c r="A35" s="49">
        <v>45596</v>
      </c>
      <c r="B35" s="50">
        <v>5.5</v>
      </c>
      <c r="C35" s="50">
        <v>5</v>
      </c>
      <c r="D35" s="50">
        <v>5.6164619354838701</v>
      </c>
      <c r="E35" s="50">
        <v>5.0716000000000001</v>
      </c>
      <c r="F35" s="50">
        <v>5.0747999999999998</v>
      </c>
      <c r="G35" s="50">
        <v>5.0789999999999997</v>
      </c>
      <c r="H35" s="50">
        <v>5.0843999999999996</v>
      </c>
      <c r="I35" s="50">
        <v>5.0891999999999999</v>
      </c>
    </row>
    <row r="36" spans="1:9">
      <c r="A36" s="49">
        <v>45626</v>
      </c>
      <c r="B36" s="50">
        <v>5.25</v>
      </c>
      <c r="C36" s="50">
        <v>4.75</v>
      </c>
      <c r="D36" s="50">
        <v>5.5295746666666696</v>
      </c>
      <c r="E36" s="50">
        <v>4.8979999999999997</v>
      </c>
      <c r="F36" s="50">
        <v>4.9055</v>
      </c>
      <c r="G36" s="50">
        <v>4.9137500000000003</v>
      </c>
      <c r="H36" s="50">
        <v>4.9215</v>
      </c>
      <c r="I36" s="50">
        <v>4.93</v>
      </c>
    </row>
    <row r="37" spans="1:9">
      <c r="A37" s="49">
        <v>45657</v>
      </c>
      <c r="B37" s="50">
        <v>5</v>
      </c>
      <c r="C37" s="50">
        <v>4.5</v>
      </c>
      <c r="D37" s="50">
        <v>5.5245419354838701</v>
      </c>
      <c r="E37" s="50">
        <v>4.75725</v>
      </c>
      <c r="F37" s="50">
        <v>4.7687499999999998</v>
      </c>
      <c r="G37" s="50">
        <v>4.7787499999999996</v>
      </c>
      <c r="H37" s="50">
        <v>4.7952500000000002</v>
      </c>
      <c r="I37" s="50">
        <v>4.8087499999999999</v>
      </c>
    </row>
    <row r="38" spans="1:9">
      <c r="A38" s="49">
        <v>45688</v>
      </c>
      <c r="B38" s="50">
        <v>5</v>
      </c>
      <c r="C38" s="50">
        <v>4.5</v>
      </c>
      <c r="D38" s="50">
        <v>5.3968999999999996</v>
      </c>
      <c r="E38" s="50">
        <v>4.6070000000000002</v>
      </c>
      <c r="F38" s="50">
        <v>4.6292</v>
      </c>
      <c r="G38" s="50">
        <v>4.6547999999999998</v>
      </c>
      <c r="H38" s="50">
        <v>4.6924000000000001</v>
      </c>
      <c r="I38" s="50">
        <v>4.7161999999999997</v>
      </c>
    </row>
    <row r="39" spans="1:9">
      <c r="A39" s="49">
        <v>45716</v>
      </c>
      <c r="B39" s="50">
        <v>5</v>
      </c>
      <c r="C39" s="50">
        <v>4.5</v>
      </c>
      <c r="D39" s="50">
        <v>5.4571817857142904</v>
      </c>
      <c r="E39" s="50">
        <v>4.60025</v>
      </c>
      <c r="F39" s="50">
        <v>4.6237500000000002</v>
      </c>
      <c r="G39" s="50">
        <v>4.6437499999999998</v>
      </c>
      <c r="H39" s="50">
        <v>4.6792499999999997</v>
      </c>
      <c r="I39" s="50">
        <v>4.6977500000000001</v>
      </c>
    </row>
    <row r="40" spans="1:9">
      <c r="A40" s="49">
        <v>45747</v>
      </c>
      <c r="B40" s="50">
        <v>5</v>
      </c>
      <c r="C40" s="50">
        <v>4.5</v>
      </c>
      <c r="D40" s="50">
        <v>5.40750774193548</v>
      </c>
      <c r="E40" s="50">
        <v>4.5942499999999997</v>
      </c>
      <c r="F40" s="50">
        <v>4.6234999999999999</v>
      </c>
      <c r="G40" s="50">
        <v>4.6392499999999997</v>
      </c>
      <c r="H40" s="50">
        <v>4.6742499999999998</v>
      </c>
      <c r="I40" s="50">
        <v>4.6890000000000001</v>
      </c>
    </row>
    <row r="41" spans="1:9">
      <c r="A41" s="49">
        <v>45777</v>
      </c>
      <c r="B41" s="50">
        <v>5</v>
      </c>
      <c r="C41" s="50">
        <v>4.5</v>
      </c>
      <c r="D41" s="50">
        <v>5.3660966666666701</v>
      </c>
      <c r="E41" s="50">
        <v>4.59</v>
      </c>
      <c r="F41" s="50">
        <v>4.6115000000000004</v>
      </c>
      <c r="G41" s="50">
        <v>4.6302500000000002</v>
      </c>
      <c r="H41" s="50">
        <v>4.6529999999999996</v>
      </c>
      <c r="I41" s="50">
        <v>4.6695000000000002</v>
      </c>
    </row>
    <row r="42" spans="1:9">
      <c r="A42" s="49">
        <v>45808</v>
      </c>
      <c r="B42" s="50">
        <v>5</v>
      </c>
      <c r="C42" s="50">
        <v>4.5</v>
      </c>
      <c r="D42" s="50">
        <v>5.3647038709677402</v>
      </c>
      <c r="E42" s="50">
        <v>4.5884999999999998</v>
      </c>
      <c r="F42" s="50">
        <v>4.6047500000000001</v>
      </c>
      <c r="G42" s="50">
        <v>4.6260000000000003</v>
      </c>
      <c r="H42" s="50">
        <v>4.64975</v>
      </c>
      <c r="I42" s="50">
        <v>4.67</v>
      </c>
    </row>
    <row r="43" spans="1:9">
      <c r="A43" s="49">
        <v>45838</v>
      </c>
      <c r="B43" s="50">
        <v>5</v>
      </c>
      <c r="C43" s="50">
        <v>4.5</v>
      </c>
      <c r="D43" s="50">
        <v>5.4843869999999999</v>
      </c>
      <c r="E43" s="50">
        <v>4.5890000000000004</v>
      </c>
      <c r="F43" s="50">
        <v>4.6070000000000002</v>
      </c>
      <c r="G43" s="50">
        <v>4.6295000000000002</v>
      </c>
      <c r="H43" s="50">
        <v>4.6532499999999999</v>
      </c>
      <c r="I43" s="50">
        <v>4.6745000000000001</v>
      </c>
    </row>
    <row r="44" spans="1:9">
      <c r="A44" s="49">
        <v>45869</v>
      </c>
      <c r="B44" s="50">
        <v>5</v>
      </c>
      <c r="C44" s="50">
        <v>4.5</v>
      </c>
      <c r="D44" s="50">
        <v>5.4522222580645199</v>
      </c>
      <c r="E44" s="50">
        <v>4.5853999999999999</v>
      </c>
      <c r="F44" s="50">
        <v>4.6021999999999998</v>
      </c>
      <c r="G44" s="50">
        <v>4.6254</v>
      </c>
      <c r="H44" s="50">
        <v>4.6452</v>
      </c>
      <c r="I44" s="50">
        <v>4.6661999999999999</v>
      </c>
    </row>
    <row r="45" spans="1:9">
      <c r="A45" s="49">
        <v>45900</v>
      </c>
      <c r="B45" s="50">
        <v>5</v>
      </c>
      <c r="C45" s="50">
        <v>4.5</v>
      </c>
      <c r="D45" s="50">
        <v>5.4040693548387102</v>
      </c>
      <c r="E45" s="50">
        <v>4.5762499999999999</v>
      </c>
      <c r="F45" s="50">
        <v>4.5940000000000003</v>
      </c>
      <c r="G45" s="50">
        <v>4.6147499999999999</v>
      </c>
      <c r="H45" s="50">
        <v>4.6327499999999997</v>
      </c>
      <c r="I45" s="50">
        <v>4.6509999999999998</v>
      </c>
    </row>
    <row r="46" spans="1:9">
      <c r="A46" s="49">
        <v>45930</v>
      </c>
      <c r="B46" s="50">
        <v>4.75</v>
      </c>
      <c r="C46" s="50">
        <v>4.25</v>
      </c>
      <c r="D46" s="50">
        <v>5.2638146666666596</v>
      </c>
      <c r="E46" s="50">
        <v>4.5117500000000001</v>
      </c>
      <c r="F46" s="50">
        <v>4.5252499999999998</v>
      </c>
      <c r="G46" s="50">
        <v>4.5389999999999997</v>
      </c>
      <c r="H46" s="50">
        <v>4.5525000000000002</v>
      </c>
      <c r="I46" s="50">
        <v>4.5644999999999998</v>
      </c>
    </row>
    <row r="47" spans="1:9">
      <c r="A47" s="49">
        <v>45961</v>
      </c>
      <c r="B47" s="50">
        <v>4.5</v>
      </c>
      <c r="C47" s="50">
        <v>4</v>
      </c>
      <c r="D47" s="50">
        <v>5.2080422580645198</v>
      </c>
      <c r="E47" s="50">
        <v>4.3388</v>
      </c>
      <c r="F47" s="50">
        <v>4.3437999999999999</v>
      </c>
      <c r="G47" s="50">
        <v>4.351</v>
      </c>
      <c r="H47" s="50">
        <v>4.3586</v>
      </c>
      <c r="I47" s="50">
        <v>4.3639999999999999</v>
      </c>
    </row>
    <row r="48" spans="1:9">
      <c r="A48" s="49">
        <v>45991</v>
      </c>
      <c r="B48" s="51">
        <v>4.5</v>
      </c>
      <c r="C48" s="51">
        <v>4</v>
      </c>
      <c r="D48" s="51">
        <v>4.9710796666666699</v>
      </c>
      <c r="E48" s="51">
        <v>4.157</v>
      </c>
      <c r="F48" s="51">
        <v>4.1652500000000003</v>
      </c>
      <c r="G48" s="51">
        <v>4.1760000000000002</v>
      </c>
      <c r="H48" s="51">
        <v>4.1847500000000002</v>
      </c>
      <c r="I48" s="51">
        <v>4.1937499999999996</v>
      </c>
    </row>
    <row r="49" spans="1:9">
      <c r="A49" s="49">
        <v>46022</v>
      </c>
      <c r="B49" s="51">
        <v>4.25</v>
      </c>
      <c r="C49" s="51">
        <v>3.75</v>
      </c>
      <c r="D49" s="51">
        <v>4.8934712903225801</v>
      </c>
      <c r="E49" s="51">
        <v>4.0006000000000004</v>
      </c>
      <c r="F49" s="51">
        <v>4.0069999999999997</v>
      </c>
      <c r="G49" s="51">
        <v>4.0244</v>
      </c>
      <c r="H49" s="51">
        <v>4.0481999999999996</v>
      </c>
      <c r="I49" s="51">
        <v>4.0926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6DB5-2369-4033-952E-B751C98E89D1}">
  <dimension ref="A1:B17"/>
  <sheetViews>
    <sheetView rightToLeft="1" tabSelected="1" workbookViewId="0">
      <selection activeCell="B20" sqref="B20"/>
    </sheetView>
  </sheetViews>
  <sheetFormatPr defaultRowHeight="13.5"/>
  <cols>
    <col min="1" max="1" width="9.6875" style="1" bestFit="1" customWidth="1"/>
    <col min="2" max="2" width="36.75" customWidth="1"/>
  </cols>
  <sheetData>
    <row r="1" spans="1:2">
      <c r="A1" s="1" t="s">
        <v>0</v>
      </c>
      <c r="B1" t="s">
        <v>51</v>
      </c>
    </row>
    <row r="2" spans="1:2">
      <c r="A2" s="1">
        <v>44651</v>
      </c>
      <c r="B2" s="86">
        <v>1.8229417901346101</v>
      </c>
    </row>
    <row r="3" spans="1:2">
      <c r="A3" s="1">
        <v>44742</v>
      </c>
      <c r="B3" s="86">
        <v>1.8484882386507</v>
      </c>
    </row>
    <row r="4" spans="1:2">
      <c r="A4" s="1">
        <v>44834</v>
      </c>
      <c r="B4" s="86">
        <v>1.80471867225914</v>
      </c>
    </row>
    <row r="5" spans="1:2">
      <c r="A5" s="1">
        <v>44926</v>
      </c>
      <c r="B5" s="86">
        <v>1.8025304726523499</v>
      </c>
    </row>
    <row r="6" spans="1:2">
      <c r="A6" s="1">
        <v>45016</v>
      </c>
      <c r="B6" s="86">
        <v>1.73998031877112</v>
      </c>
    </row>
    <row r="7" spans="1:2">
      <c r="A7" s="1">
        <v>45107</v>
      </c>
      <c r="B7" s="86">
        <v>1.71746820725891</v>
      </c>
    </row>
    <row r="8" spans="1:2">
      <c r="A8" s="1">
        <v>45199</v>
      </c>
      <c r="B8" s="86">
        <v>1.6377996341240899</v>
      </c>
    </row>
    <row r="9" spans="1:2">
      <c r="A9" s="1">
        <v>45291</v>
      </c>
      <c r="B9" s="86">
        <v>1.5134758780294499</v>
      </c>
    </row>
    <row r="10" spans="1:2">
      <c r="A10" s="1">
        <v>45382</v>
      </c>
      <c r="B10" s="86">
        <v>1.4225552320991699</v>
      </c>
    </row>
    <row r="11" spans="1:2">
      <c r="A11" s="1">
        <v>45473</v>
      </c>
      <c r="B11" s="86">
        <v>1.3662842098365799</v>
      </c>
    </row>
    <row r="12" spans="1:2">
      <c r="A12" s="1">
        <v>45565</v>
      </c>
      <c r="B12" s="86">
        <v>1.31533174004614</v>
      </c>
    </row>
    <row r="13" spans="1:2">
      <c r="A13" s="1">
        <v>45657</v>
      </c>
      <c r="B13" s="86">
        <v>1.2453558723385301</v>
      </c>
    </row>
    <row r="14" spans="1:2">
      <c r="A14" s="1">
        <v>45747</v>
      </c>
      <c r="B14" s="86">
        <v>1.20736118640534</v>
      </c>
    </row>
    <row r="15" spans="1:2">
      <c r="A15" s="1">
        <v>45838</v>
      </c>
      <c r="B15" s="86">
        <v>1.17285382100428</v>
      </c>
    </row>
    <row r="16" spans="1:2">
      <c r="A16" s="1">
        <v>45930</v>
      </c>
      <c r="B16" s="86">
        <v>1.09876555275417</v>
      </c>
    </row>
    <row r="17" spans="1:2">
      <c r="A17" s="1">
        <v>46022</v>
      </c>
      <c r="B17" s="86"/>
    </row>
  </sheetData>
  <sortState xmlns:xlrd2="http://schemas.microsoft.com/office/spreadsheetml/2017/richdata2" ref="A2:A17">
    <sortCondition ref="A1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10</vt:i4>
      </vt:variant>
    </vt:vector>
  </HeadingPairs>
  <TitlesOfParts>
    <vt:vector size="10" baseType="lpstr">
      <vt:lpstr>Money_Supply_Levels</vt:lpstr>
      <vt:lpstr>M3_Components</vt:lpstr>
      <vt:lpstr>Mortgage_Finance</vt:lpstr>
      <vt:lpstr>Stock_AlRajhi</vt:lpstr>
      <vt:lpstr>Stock_SNB</vt:lpstr>
      <vt:lpstr>Stock_Alinma</vt:lpstr>
      <vt:lpstr>Global_Deposits</vt:lpstr>
      <vt:lpstr>Consumer_Loans_Annual</vt:lpstr>
      <vt:lpstr>Interest_Rates_SAIBOR</vt:lpstr>
      <vt:lpstr>Nonperforming loans to total 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hawsawi</dc:creator>
  <cp:lastModifiedBy>layan hawsawi</cp:lastModifiedBy>
  <dcterms:created xsi:type="dcterms:W3CDTF">2026-02-17T12:20:22Z</dcterms:created>
  <dcterms:modified xsi:type="dcterms:W3CDTF">2026-02-23T05:24:31Z</dcterms:modified>
</cp:coreProperties>
</file>